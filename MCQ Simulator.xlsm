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dubi\Dropbox\Rashid\"/>
    </mc:Choice>
  </mc:AlternateContent>
  <xr:revisionPtr revIDLastSave="0" documentId="13_ncr:1_{3C8FDF12-F61D-4EEC-9C85-24DF5E74C790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Instructions" sheetId="14" r:id="rId1"/>
    <sheet name="BinomialDist" sheetId="1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25" i="13" l="1"/>
  <c r="Z27" i="13" s="1"/>
  <c r="E6" i="13"/>
  <c r="B19" i="13"/>
  <c r="B319" i="13"/>
  <c r="B320" i="13"/>
  <c r="B321" i="13"/>
  <c r="B322" i="13"/>
  <c r="G322" i="13" s="1"/>
  <c r="B323" i="13"/>
  <c r="B324" i="13"/>
  <c r="B325" i="13"/>
  <c r="B326" i="13"/>
  <c r="H326" i="13" s="1"/>
  <c r="B327" i="13"/>
  <c r="B328" i="13"/>
  <c r="B329" i="13"/>
  <c r="B330" i="13"/>
  <c r="G330" i="13" s="1"/>
  <c r="B331" i="13"/>
  <c r="B332" i="13"/>
  <c r="B333" i="13"/>
  <c r="B334" i="13"/>
  <c r="G334" i="13" s="1"/>
  <c r="B335" i="13"/>
  <c r="H335" i="13" s="1"/>
  <c r="B336" i="13"/>
  <c r="B337" i="13"/>
  <c r="B338" i="13"/>
  <c r="J338" i="13" s="1"/>
  <c r="I338" i="13" s="1"/>
  <c r="B339" i="13"/>
  <c r="B340" i="13"/>
  <c r="B341" i="13"/>
  <c r="B342" i="13"/>
  <c r="C342" i="13" s="1"/>
  <c r="B343" i="13"/>
  <c r="B344" i="13"/>
  <c r="B345" i="13"/>
  <c r="B346" i="13"/>
  <c r="H346" i="13" s="1"/>
  <c r="B347" i="13"/>
  <c r="B348" i="13"/>
  <c r="B349" i="13"/>
  <c r="B350" i="13"/>
  <c r="C350" i="13" s="1"/>
  <c r="B351" i="13"/>
  <c r="B352" i="13"/>
  <c r="B353" i="13"/>
  <c r="B354" i="13"/>
  <c r="G354" i="13" s="1"/>
  <c r="B355" i="13"/>
  <c r="B356" i="13"/>
  <c r="B357" i="13"/>
  <c r="B358" i="13"/>
  <c r="G358" i="13" s="1"/>
  <c r="B359" i="13"/>
  <c r="B360" i="13"/>
  <c r="B361" i="13"/>
  <c r="B362" i="13"/>
  <c r="H362" i="13" s="1"/>
  <c r="B363" i="13"/>
  <c r="B364" i="13"/>
  <c r="B365" i="13"/>
  <c r="B366" i="13"/>
  <c r="H366" i="13" s="1"/>
  <c r="B367" i="13"/>
  <c r="B368" i="13"/>
  <c r="B369" i="13"/>
  <c r="B370" i="13"/>
  <c r="F370" i="13" s="1"/>
  <c r="B371" i="13"/>
  <c r="B372" i="13"/>
  <c r="B373" i="13"/>
  <c r="B374" i="13"/>
  <c r="G374" i="13" s="1"/>
  <c r="B375" i="13"/>
  <c r="B376" i="13"/>
  <c r="G376" i="13" s="1"/>
  <c r="B377" i="13"/>
  <c r="B378" i="13"/>
  <c r="C378" i="13" s="1"/>
  <c r="B379" i="13"/>
  <c r="B380" i="13"/>
  <c r="B381" i="13"/>
  <c r="B382" i="13"/>
  <c r="C382" i="13" s="1"/>
  <c r="B383" i="13"/>
  <c r="B384" i="13"/>
  <c r="B385" i="13"/>
  <c r="B386" i="13"/>
  <c r="C386" i="13" s="1"/>
  <c r="B387" i="13"/>
  <c r="B388" i="13"/>
  <c r="F388" i="13" s="1"/>
  <c r="B389" i="13"/>
  <c r="B390" i="13"/>
  <c r="C390" i="13" s="1"/>
  <c r="B391" i="13"/>
  <c r="B392" i="13"/>
  <c r="B393" i="13"/>
  <c r="B394" i="13"/>
  <c r="E394" i="13" s="1"/>
  <c r="B395" i="13"/>
  <c r="B396" i="13"/>
  <c r="B397" i="13"/>
  <c r="B398" i="13"/>
  <c r="C398" i="13" s="1"/>
  <c r="B399" i="13"/>
  <c r="B400" i="13"/>
  <c r="F400" i="13" s="1"/>
  <c r="B401" i="13"/>
  <c r="B402" i="13"/>
  <c r="G402" i="13" s="1"/>
  <c r="B403" i="13"/>
  <c r="B404" i="13"/>
  <c r="B405" i="13"/>
  <c r="B406" i="13"/>
  <c r="J406" i="13" s="1"/>
  <c r="I406" i="13" s="1"/>
  <c r="B407" i="13"/>
  <c r="B408" i="13"/>
  <c r="B409" i="13"/>
  <c r="B410" i="13"/>
  <c r="G410" i="13" s="1"/>
  <c r="B411" i="13"/>
  <c r="B412" i="13"/>
  <c r="B413" i="13"/>
  <c r="B414" i="13"/>
  <c r="E414" i="13" s="1"/>
  <c r="B415" i="13"/>
  <c r="B416" i="13"/>
  <c r="B417" i="13"/>
  <c r="B418" i="13"/>
  <c r="C418" i="13" s="1"/>
  <c r="B419" i="13"/>
  <c r="B420" i="13"/>
  <c r="B421" i="13"/>
  <c r="B422" i="13"/>
  <c r="H422" i="13" s="1"/>
  <c r="B423" i="13"/>
  <c r="B424" i="13"/>
  <c r="B425" i="13"/>
  <c r="B426" i="13"/>
  <c r="H426" i="13" s="1"/>
  <c r="B427" i="13"/>
  <c r="B428" i="13"/>
  <c r="F428" i="13" s="1"/>
  <c r="B429" i="13"/>
  <c r="B430" i="13"/>
  <c r="B431" i="13"/>
  <c r="B432" i="13"/>
  <c r="E432" i="13" s="1"/>
  <c r="B433" i="13"/>
  <c r="B434" i="13"/>
  <c r="G434" i="13" s="1"/>
  <c r="B435" i="13"/>
  <c r="B436" i="13"/>
  <c r="B437" i="13"/>
  <c r="B438" i="13"/>
  <c r="C438" i="13" s="1"/>
  <c r="B439" i="13"/>
  <c r="B440" i="13"/>
  <c r="B441" i="13"/>
  <c r="B442" i="13"/>
  <c r="C442" i="13" s="1"/>
  <c r="B443" i="13"/>
  <c r="B444" i="13"/>
  <c r="E444" i="13" s="1"/>
  <c r="B445" i="13"/>
  <c r="B446" i="13"/>
  <c r="G446" i="13" s="1"/>
  <c r="B447" i="13"/>
  <c r="B448" i="13"/>
  <c r="B449" i="13"/>
  <c r="B450" i="13"/>
  <c r="G450" i="13" s="1"/>
  <c r="B451" i="13"/>
  <c r="B452" i="13"/>
  <c r="B453" i="13"/>
  <c r="B454" i="13"/>
  <c r="G454" i="13" s="1"/>
  <c r="B455" i="13"/>
  <c r="B456" i="13"/>
  <c r="B457" i="13"/>
  <c r="B458" i="13"/>
  <c r="H458" i="13" s="1"/>
  <c r="B459" i="13"/>
  <c r="B460" i="13"/>
  <c r="F460" i="13" s="1"/>
  <c r="B461" i="13"/>
  <c r="B462" i="13"/>
  <c r="H462" i="13" s="1"/>
  <c r="B463" i="13"/>
  <c r="B464" i="13"/>
  <c r="B465" i="13"/>
  <c r="B466" i="13"/>
  <c r="F466" i="13" s="1"/>
  <c r="B467" i="13"/>
  <c r="B468" i="13"/>
  <c r="B469" i="13"/>
  <c r="B470" i="13"/>
  <c r="C470" i="13" s="1"/>
  <c r="B471" i="13"/>
  <c r="B472" i="13"/>
  <c r="F472" i="13" s="1"/>
  <c r="B473" i="13"/>
  <c r="B474" i="13"/>
  <c r="J474" i="13" s="1"/>
  <c r="I474" i="13" s="1"/>
  <c r="B475" i="13"/>
  <c r="B476" i="13"/>
  <c r="B477" i="13"/>
  <c r="B478" i="13"/>
  <c r="C478" i="13" s="1"/>
  <c r="B479" i="13"/>
  <c r="B480" i="13"/>
  <c r="G480" i="13" s="1"/>
  <c r="B481" i="13"/>
  <c r="B482" i="13"/>
  <c r="H482" i="13" s="1"/>
  <c r="B483" i="13"/>
  <c r="B484" i="13"/>
  <c r="F484" i="13" s="1"/>
  <c r="B485" i="13"/>
  <c r="B486" i="13"/>
  <c r="G486" i="13" s="1"/>
  <c r="B487" i="13"/>
  <c r="B488" i="13"/>
  <c r="B489" i="13"/>
  <c r="B490" i="13"/>
  <c r="C490" i="13" s="1"/>
  <c r="B491" i="13"/>
  <c r="B492" i="13"/>
  <c r="B493" i="13"/>
  <c r="B494" i="13"/>
  <c r="B495" i="13"/>
  <c r="B496" i="13"/>
  <c r="B497" i="13"/>
  <c r="B498" i="13"/>
  <c r="E498" i="13" s="1"/>
  <c r="B499" i="13"/>
  <c r="B500" i="13"/>
  <c r="B501" i="13"/>
  <c r="B502" i="13"/>
  <c r="H502" i="13" s="1"/>
  <c r="B503" i="13"/>
  <c r="B504" i="13"/>
  <c r="E504" i="13" s="1"/>
  <c r="B505" i="13"/>
  <c r="B506" i="13"/>
  <c r="F506" i="13" s="1"/>
  <c r="B507" i="13"/>
  <c r="B508" i="13"/>
  <c r="E508" i="13" s="1"/>
  <c r="B509" i="13"/>
  <c r="B510" i="13"/>
  <c r="C510" i="13" s="1"/>
  <c r="B511" i="13"/>
  <c r="B512" i="13"/>
  <c r="B513" i="13"/>
  <c r="B514" i="13"/>
  <c r="C514" i="13" s="1"/>
  <c r="B515" i="13"/>
  <c r="B516" i="13"/>
  <c r="B517" i="13"/>
  <c r="B518" i="13"/>
  <c r="G518" i="13" s="1"/>
  <c r="B519" i="13"/>
  <c r="B520" i="13"/>
  <c r="B521" i="13"/>
  <c r="B522" i="13"/>
  <c r="H522" i="13" s="1"/>
  <c r="B523" i="13"/>
  <c r="B524" i="13"/>
  <c r="F524" i="13" s="1"/>
  <c r="B525" i="13"/>
  <c r="B526" i="13"/>
  <c r="B527" i="13"/>
  <c r="B528" i="13"/>
  <c r="B529" i="13"/>
  <c r="B530" i="13"/>
  <c r="G530" i="13" s="1"/>
  <c r="B531" i="13"/>
  <c r="B532" i="13"/>
  <c r="B533" i="13"/>
  <c r="B534" i="13"/>
  <c r="H534" i="13" s="1"/>
  <c r="B535" i="13"/>
  <c r="B536" i="13"/>
  <c r="B537" i="13"/>
  <c r="B538" i="13"/>
  <c r="C538" i="13" s="1"/>
  <c r="B539" i="13"/>
  <c r="B540" i="13"/>
  <c r="E540" i="13" s="1"/>
  <c r="B541" i="13"/>
  <c r="B542" i="13"/>
  <c r="B543" i="13"/>
  <c r="B544" i="13"/>
  <c r="B545" i="13"/>
  <c r="B546" i="13"/>
  <c r="C546" i="13" s="1"/>
  <c r="B547" i="13"/>
  <c r="B548" i="13"/>
  <c r="F548" i="13" s="1"/>
  <c r="B549" i="13"/>
  <c r="B550" i="13"/>
  <c r="B551" i="13"/>
  <c r="B552" i="13"/>
  <c r="B553" i="13"/>
  <c r="B554" i="13"/>
  <c r="C554" i="13" s="1"/>
  <c r="B555" i="13"/>
  <c r="B556" i="13"/>
  <c r="E556" i="13" s="1"/>
  <c r="B557" i="13"/>
  <c r="B558" i="13"/>
  <c r="C558" i="13" s="1"/>
  <c r="B559" i="13"/>
  <c r="B560" i="13"/>
  <c r="E560" i="13" s="1"/>
  <c r="B561" i="13"/>
  <c r="B562" i="13"/>
  <c r="H562" i="13" s="1"/>
  <c r="B563" i="13"/>
  <c r="B564" i="13"/>
  <c r="B565" i="13"/>
  <c r="B566" i="13"/>
  <c r="C566" i="13" s="1"/>
  <c r="B567" i="13"/>
  <c r="B568" i="13"/>
  <c r="F568" i="13" s="1"/>
  <c r="B569" i="13"/>
  <c r="B570" i="13"/>
  <c r="C570" i="13" s="1"/>
  <c r="B571" i="13"/>
  <c r="B572" i="13"/>
  <c r="B573" i="13"/>
  <c r="B574" i="13"/>
  <c r="G574" i="13" s="1"/>
  <c r="B575" i="13"/>
  <c r="B576" i="13"/>
  <c r="B577" i="13"/>
  <c r="B578" i="13"/>
  <c r="H578" i="13" s="1"/>
  <c r="B579" i="13"/>
  <c r="B580" i="13"/>
  <c r="B581" i="13"/>
  <c r="B582" i="13"/>
  <c r="C582" i="13" s="1"/>
  <c r="B583" i="13"/>
  <c r="B584" i="13"/>
  <c r="B585" i="13"/>
  <c r="B586" i="13"/>
  <c r="H586" i="13" s="1"/>
  <c r="B587" i="13"/>
  <c r="B588" i="13"/>
  <c r="B589" i="13"/>
  <c r="B590" i="13"/>
  <c r="C590" i="13" s="1"/>
  <c r="B591" i="13"/>
  <c r="B592" i="13"/>
  <c r="B593" i="13"/>
  <c r="B594" i="13"/>
  <c r="H594" i="13" s="1"/>
  <c r="B595" i="13"/>
  <c r="B596" i="13"/>
  <c r="B597" i="13"/>
  <c r="B598" i="13"/>
  <c r="C598" i="13" s="1"/>
  <c r="B599" i="13"/>
  <c r="B600" i="13"/>
  <c r="B601" i="13"/>
  <c r="B602" i="13"/>
  <c r="G602" i="13" s="1"/>
  <c r="B603" i="13"/>
  <c r="B604" i="13"/>
  <c r="B605" i="13"/>
  <c r="B606" i="13"/>
  <c r="B607" i="13"/>
  <c r="B608" i="13"/>
  <c r="E608" i="13" s="1"/>
  <c r="B609" i="13"/>
  <c r="B610" i="13"/>
  <c r="D610" i="13" s="1"/>
  <c r="B611" i="13"/>
  <c r="B612" i="13"/>
  <c r="B613" i="13"/>
  <c r="B614" i="13"/>
  <c r="B615" i="13"/>
  <c r="B616" i="13"/>
  <c r="B617" i="13"/>
  <c r="B618" i="13"/>
  <c r="C618" i="13" s="1"/>
  <c r="B619" i="13"/>
  <c r="B620" i="13"/>
  <c r="B621" i="13"/>
  <c r="B622" i="13"/>
  <c r="H622" i="13" s="1"/>
  <c r="B623" i="13"/>
  <c r="B624" i="13"/>
  <c r="B625" i="13"/>
  <c r="B626" i="13"/>
  <c r="H626" i="13" s="1"/>
  <c r="B627" i="13"/>
  <c r="B628" i="13"/>
  <c r="B629" i="13"/>
  <c r="C629" i="13" s="1"/>
  <c r="B630" i="13"/>
  <c r="H630" i="13" s="1"/>
  <c r="B631" i="13"/>
  <c r="B632" i="13"/>
  <c r="C632" i="13" s="1"/>
  <c r="B633" i="13"/>
  <c r="B634" i="13"/>
  <c r="E634" i="13" s="1"/>
  <c r="B635" i="13"/>
  <c r="B636" i="13"/>
  <c r="E636" i="13" s="1"/>
  <c r="B637" i="13"/>
  <c r="G637" i="13" s="1"/>
  <c r="B638" i="13"/>
  <c r="B639" i="13"/>
  <c r="B640" i="13"/>
  <c r="B641" i="13"/>
  <c r="G641" i="13" s="1"/>
  <c r="B642" i="13"/>
  <c r="G642" i="13" s="1"/>
  <c r="B643" i="13"/>
  <c r="B644" i="13"/>
  <c r="E644" i="13" s="1"/>
  <c r="B645" i="13"/>
  <c r="B646" i="13"/>
  <c r="B647" i="13"/>
  <c r="B648" i="13"/>
  <c r="B649" i="13"/>
  <c r="B650" i="13"/>
  <c r="E650" i="13" s="1"/>
  <c r="B651" i="13"/>
  <c r="B652" i="13"/>
  <c r="B653" i="13"/>
  <c r="B654" i="13"/>
  <c r="B655" i="13"/>
  <c r="B656" i="13"/>
  <c r="E656" i="13" s="1"/>
  <c r="B657" i="13"/>
  <c r="B658" i="13"/>
  <c r="D658" i="13" s="1"/>
  <c r="B659" i="13"/>
  <c r="B660" i="13"/>
  <c r="F660" i="13" s="1"/>
  <c r="B661" i="13"/>
  <c r="B662" i="13"/>
  <c r="B663" i="13"/>
  <c r="B664" i="13"/>
  <c r="B665" i="13"/>
  <c r="H665" i="13" s="1"/>
  <c r="B666" i="13"/>
  <c r="E666" i="13" s="1"/>
  <c r="B667" i="13"/>
  <c r="B668" i="13"/>
  <c r="B669" i="13"/>
  <c r="B670" i="13"/>
  <c r="B671" i="13"/>
  <c r="B672" i="13"/>
  <c r="B673" i="13"/>
  <c r="B674" i="13"/>
  <c r="F674" i="13" s="1"/>
  <c r="B675" i="13"/>
  <c r="B676" i="13"/>
  <c r="E676" i="13" s="1"/>
  <c r="B677" i="13"/>
  <c r="C677" i="13" s="1"/>
  <c r="B678" i="13"/>
  <c r="B679" i="13"/>
  <c r="B680" i="13"/>
  <c r="E680" i="13" s="1"/>
  <c r="B681" i="13"/>
  <c r="H681" i="13" s="1"/>
  <c r="B682" i="13"/>
  <c r="J682" i="13" s="1"/>
  <c r="I682" i="13" s="1"/>
  <c r="B683" i="13"/>
  <c r="B684" i="13"/>
  <c r="B685" i="13"/>
  <c r="G685" i="13" s="1"/>
  <c r="B686" i="13"/>
  <c r="B687" i="13"/>
  <c r="B688" i="13"/>
  <c r="B689" i="13"/>
  <c r="B690" i="13"/>
  <c r="F690" i="13" s="1"/>
  <c r="B691" i="13"/>
  <c r="B692" i="13"/>
  <c r="B693" i="13"/>
  <c r="B694" i="13"/>
  <c r="B695" i="13"/>
  <c r="B696" i="13"/>
  <c r="B697" i="13"/>
  <c r="G697" i="13" s="1"/>
  <c r="B698" i="13"/>
  <c r="C698" i="13" s="1"/>
  <c r="B699" i="13"/>
  <c r="B700" i="13"/>
  <c r="B701" i="13"/>
  <c r="H701" i="13" s="1"/>
  <c r="B702" i="13"/>
  <c r="B703" i="13"/>
  <c r="B704" i="13"/>
  <c r="B705" i="13"/>
  <c r="B706" i="13"/>
  <c r="E706" i="13" s="1"/>
  <c r="B707" i="13"/>
  <c r="B708" i="13"/>
  <c r="B709" i="13"/>
  <c r="B710" i="13"/>
  <c r="B711" i="13"/>
  <c r="B712" i="13"/>
  <c r="B713" i="13"/>
  <c r="C713" i="13" s="1"/>
  <c r="B714" i="13"/>
  <c r="F714" i="13" s="1"/>
  <c r="B715" i="13"/>
  <c r="B716" i="13"/>
  <c r="G716" i="13" s="1"/>
  <c r="B717" i="13"/>
  <c r="B718" i="13"/>
  <c r="B719" i="13"/>
  <c r="B720" i="13"/>
  <c r="B721" i="13"/>
  <c r="H721" i="13" s="1"/>
  <c r="B722" i="13"/>
  <c r="F722" i="13" s="1"/>
  <c r="B723" i="13"/>
  <c r="B724" i="13"/>
  <c r="E724" i="13" s="1"/>
  <c r="B725" i="13"/>
  <c r="B726" i="13"/>
  <c r="B727" i="13"/>
  <c r="B728" i="13"/>
  <c r="B729" i="13"/>
  <c r="C729" i="13" s="1"/>
  <c r="B730" i="13"/>
  <c r="F730" i="13" s="1"/>
  <c r="B731" i="13"/>
  <c r="B732" i="13"/>
  <c r="H732" i="13" s="1"/>
  <c r="B733" i="13"/>
  <c r="B734" i="13"/>
  <c r="B735" i="13"/>
  <c r="B736" i="13"/>
  <c r="B737" i="13"/>
  <c r="H737" i="13" s="1"/>
  <c r="B738" i="13"/>
  <c r="G738" i="13" s="1"/>
  <c r="B739" i="13"/>
  <c r="B740" i="13"/>
  <c r="F740" i="13" s="1"/>
  <c r="B741" i="13"/>
  <c r="B742" i="13"/>
  <c r="B743" i="13"/>
  <c r="B744" i="13"/>
  <c r="B745" i="13"/>
  <c r="C745" i="13" s="1"/>
  <c r="B746" i="13"/>
  <c r="H746" i="13" s="1"/>
  <c r="B747" i="13"/>
  <c r="B748" i="13"/>
  <c r="B749" i="13"/>
  <c r="G749" i="13" s="1"/>
  <c r="B750" i="13"/>
  <c r="B751" i="13"/>
  <c r="B752" i="13"/>
  <c r="B753" i="13"/>
  <c r="H753" i="13" s="1"/>
  <c r="B754" i="13"/>
  <c r="C754" i="13" s="1"/>
  <c r="B755" i="13"/>
  <c r="B756" i="13"/>
  <c r="F756" i="13" s="1"/>
  <c r="B757" i="13"/>
  <c r="B758" i="13"/>
  <c r="B759" i="13"/>
  <c r="H759" i="13" s="1"/>
  <c r="B760" i="13"/>
  <c r="E760" i="13" s="1"/>
  <c r="B761" i="13"/>
  <c r="C761" i="13" s="1"/>
  <c r="B762" i="13"/>
  <c r="F762" i="13" s="1"/>
  <c r="B763" i="13"/>
  <c r="B764" i="13"/>
  <c r="B765" i="13"/>
  <c r="B766" i="13"/>
  <c r="B767" i="13"/>
  <c r="E767" i="13" s="1"/>
  <c r="B768" i="13"/>
  <c r="B769" i="13"/>
  <c r="H769" i="13" s="1"/>
  <c r="B770" i="13"/>
  <c r="F770" i="13" s="1"/>
  <c r="B771" i="13"/>
  <c r="B772" i="13"/>
  <c r="F772" i="13" s="1"/>
  <c r="B773" i="13"/>
  <c r="B774" i="13"/>
  <c r="B775" i="13"/>
  <c r="B776" i="13"/>
  <c r="B777" i="13"/>
  <c r="C777" i="13" s="1"/>
  <c r="B778" i="13"/>
  <c r="E778" i="13" s="1"/>
  <c r="B779" i="13"/>
  <c r="B780" i="13"/>
  <c r="E780" i="13" s="1"/>
  <c r="B781" i="13"/>
  <c r="G781" i="13" s="1"/>
  <c r="B782" i="13"/>
  <c r="B783" i="13"/>
  <c r="B784" i="13"/>
  <c r="B785" i="13"/>
  <c r="H785" i="13" s="1"/>
  <c r="B786" i="13"/>
  <c r="H786" i="13" s="1"/>
  <c r="B787" i="13"/>
  <c r="B788" i="13"/>
  <c r="F788" i="13" s="1"/>
  <c r="B789" i="13"/>
  <c r="C789" i="13" s="1"/>
  <c r="B790" i="13"/>
  <c r="B791" i="13"/>
  <c r="B792" i="13"/>
  <c r="H792" i="13" s="1"/>
  <c r="B793" i="13"/>
  <c r="B794" i="13"/>
  <c r="B795" i="13"/>
  <c r="B796" i="13"/>
  <c r="H796" i="13" s="1"/>
  <c r="B797" i="13"/>
  <c r="G797" i="13" s="1"/>
  <c r="B798" i="13"/>
  <c r="B799" i="13"/>
  <c r="B800" i="13"/>
  <c r="B801" i="13"/>
  <c r="H801" i="13" s="1"/>
  <c r="B802" i="13"/>
  <c r="D802" i="13" s="1"/>
  <c r="B803" i="13"/>
  <c r="B804" i="13"/>
  <c r="B805" i="13"/>
  <c r="B806" i="13"/>
  <c r="B807" i="13"/>
  <c r="B808" i="13"/>
  <c r="G808" i="13" s="1"/>
  <c r="B809" i="13"/>
  <c r="B810" i="13"/>
  <c r="G810" i="13" s="1"/>
  <c r="B811" i="13"/>
  <c r="B812" i="13"/>
  <c r="B813" i="13"/>
  <c r="B814" i="13"/>
  <c r="B815" i="13"/>
  <c r="B816" i="13"/>
  <c r="B817" i="13"/>
  <c r="B818" i="13"/>
  <c r="G818" i="13" s="1"/>
  <c r="B819" i="13"/>
  <c r="B820" i="13"/>
  <c r="B821" i="13"/>
  <c r="C821" i="13" s="1"/>
  <c r="B822" i="13"/>
  <c r="B823" i="13"/>
  <c r="B824" i="13"/>
  <c r="B825" i="13"/>
  <c r="C825" i="13" s="1"/>
  <c r="B826" i="13"/>
  <c r="C826" i="13" s="1"/>
  <c r="B827" i="13"/>
  <c r="B828" i="13"/>
  <c r="E828" i="13" s="1"/>
  <c r="B829" i="13"/>
  <c r="B830" i="13"/>
  <c r="B831" i="13"/>
  <c r="B832" i="13"/>
  <c r="B833" i="13"/>
  <c r="H833" i="13" s="1"/>
  <c r="B834" i="13"/>
  <c r="H834" i="13" s="1"/>
  <c r="B835" i="13"/>
  <c r="B836" i="13"/>
  <c r="B837" i="13"/>
  <c r="C837" i="13" s="1"/>
  <c r="B838" i="13"/>
  <c r="B839" i="13"/>
  <c r="B840" i="13"/>
  <c r="B841" i="13"/>
  <c r="C841" i="13" s="1"/>
  <c r="B842" i="13"/>
  <c r="H842" i="13" s="1"/>
  <c r="B843" i="13"/>
  <c r="B844" i="13"/>
  <c r="E844" i="13" s="1"/>
  <c r="B845" i="13"/>
  <c r="G845" i="13" s="1"/>
  <c r="B846" i="13"/>
  <c r="B847" i="13"/>
  <c r="B848" i="13"/>
  <c r="B849" i="13"/>
  <c r="B850" i="13"/>
  <c r="D850" i="13" s="1"/>
  <c r="B851" i="13"/>
  <c r="B852" i="13"/>
  <c r="B853" i="13"/>
  <c r="H853" i="13" s="1"/>
  <c r="B854" i="13"/>
  <c r="B855" i="13"/>
  <c r="B856" i="13"/>
  <c r="B857" i="13"/>
  <c r="H857" i="13" s="1"/>
  <c r="B858" i="13"/>
  <c r="C858" i="13" s="1"/>
  <c r="B859" i="13"/>
  <c r="B860" i="13"/>
  <c r="B861" i="13"/>
  <c r="C861" i="13" s="1"/>
  <c r="B862" i="13"/>
  <c r="B863" i="13"/>
  <c r="B864" i="13"/>
  <c r="F864" i="13" s="1"/>
  <c r="B865" i="13"/>
  <c r="B866" i="13"/>
  <c r="D866" i="13" s="1"/>
  <c r="B867" i="13"/>
  <c r="H867" i="13" s="1"/>
  <c r="B868" i="13"/>
  <c r="E868" i="13" s="1"/>
  <c r="B869" i="13"/>
  <c r="H869" i="13" s="1"/>
  <c r="B870" i="13"/>
  <c r="B871" i="13"/>
  <c r="B872" i="13"/>
  <c r="F872" i="13" s="1"/>
  <c r="B873" i="13"/>
  <c r="B874" i="13"/>
  <c r="F874" i="13" s="1"/>
  <c r="B875" i="13"/>
  <c r="B876" i="13"/>
  <c r="F876" i="13" s="1"/>
  <c r="B877" i="13"/>
  <c r="B878" i="13"/>
  <c r="B879" i="13"/>
  <c r="B880" i="13"/>
  <c r="B881" i="13"/>
  <c r="B882" i="13"/>
  <c r="G882" i="13" s="1"/>
  <c r="B883" i="13"/>
  <c r="B884" i="13"/>
  <c r="B885" i="13"/>
  <c r="C885" i="13" s="1"/>
  <c r="B886" i="13"/>
  <c r="B887" i="13"/>
  <c r="B888" i="13"/>
  <c r="B889" i="13"/>
  <c r="G889" i="13" s="1"/>
  <c r="B890" i="13"/>
  <c r="D890" i="13" s="1"/>
  <c r="B891" i="13"/>
  <c r="B892" i="13"/>
  <c r="F892" i="13" s="1"/>
  <c r="B893" i="13"/>
  <c r="H893" i="13" s="1"/>
  <c r="B894" i="13"/>
  <c r="B895" i="13"/>
  <c r="G895" i="13" s="1"/>
  <c r="B896" i="13"/>
  <c r="B897" i="13"/>
  <c r="B898" i="13"/>
  <c r="B899" i="13"/>
  <c r="B900" i="13"/>
  <c r="B901" i="13"/>
  <c r="C901" i="13" s="1"/>
  <c r="B902" i="13"/>
  <c r="B903" i="13"/>
  <c r="B904" i="13"/>
  <c r="B905" i="13"/>
  <c r="G905" i="13" s="1"/>
  <c r="B906" i="13"/>
  <c r="G906" i="13" s="1"/>
  <c r="B907" i="13"/>
  <c r="B908" i="13"/>
  <c r="B909" i="13"/>
  <c r="B910" i="13"/>
  <c r="B911" i="13"/>
  <c r="B912" i="13"/>
  <c r="B913" i="13"/>
  <c r="B914" i="13"/>
  <c r="H914" i="13" s="1"/>
  <c r="B915" i="13"/>
  <c r="B916" i="13"/>
  <c r="B917" i="13"/>
  <c r="B918" i="13"/>
  <c r="B919" i="13"/>
  <c r="F919" i="13" s="1"/>
  <c r="B920" i="13"/>
  <c r="B921" i="13"/>
  <c r="B922" i="13"/>
  <c r="G922" i="13" s="1"/>
  <c r="B923" i="13"/>
  <c r="B924" i="13"/>
  <c r="B925" i="13"/>
  <c r="C925" i="13" s="1"/>
  <c r="B926" i="13"/>
  <c r="B927" i="13"/>
  <c r="B928" i="13"/>
  <c r="F928" i="13" s="1"/>
  <c r="B929" i="13"/>
  <c r="B930" i="13"/>
  <c r="C930" i="13" s="1"/>
  <c r="B931" i="13"/>
  <c r="B932" i="13"/>
  <c r="B933" i="13"/>
  <c r="G933" i="13" s="1"/>
  <c r="B934" i="13"/>
  <c r="B935" i="13"/>
  <c r="B936" i="13"/>
  <c r="B937" i="13"/>
  <c r="G937" i="13" s="1"/>
  <c r="B938" i="13"/>
  <c r="H938" i="13" s="1"/>
  <c r="B939" i="13"/>
  <c r="B940" i="13"/>
  <c r="B941" i="13"/>
  <c r="C941" i="13" s="1"/>
  <c r="B942" i="13"/>
  <c r="G942" i="13" s="1"/>
  <c r="B943" i="13"/>
  <c r="B944" i="13"/>
  <c r="B945" i="13"/>
  <c r="F945" i="13" s="1"/>
  <c r="B946" i="13"/>
  <c r="C946" i="13" s="1"/>
  <c r="B947" i="13"/>
  <c r="B948" i="13"/>
  <c r="B949" i="13"/>
  <c r="H949" i="13" s="1"/>
  <c r="B950" i="13"/>
  <c r="G950" i="13" s="1"/>
  <c r="B951" i="13"/>
  <c r="B952" i="13"/>
  <c r="B953" i="13"/>
  <c r="B954" i="13"/>
  <c r="C954" i="13" s="1"/>
  <c r="B955" i="13"/>
  <c r="B956" i="13"/>
  <c r="B957" i="13"/>
  <c r="C957" i="13" s="1"/>
  <c r="B958" i="13"/>
  <c r="H958" i="13" s="1"/>
  <c r="B959" i="13"/>
  <c r="B960" i="13"/>
  <c r="B961" i="13"/>
  <c r="B962" i="13"/>
  <c r="G962" i="13" s="1"/>
  <c r="B963" i="13"/>
  <c r="B964" i="13"/>
  <c r="B965" i="13"/>
  <c r="B966" i="13"/>
  <c r="E966" i="13" s="1"/>
  <c r="B967" i="13"/>
  <c r="B968" i="13"/>
  <c r="E968" i="13" s="1"/>
  <c r="B969" i="13"/>
  <c r="D969" i="13" s="1"/>
  <c r="B970" i="13"/>
  <c r="H970" i="13" s="1"/>
  <c r="B971" i="13"/>
  <c r="F971" i="13" s="1"/>
  <c r="B972" i="13"/>
  <c r="E972" i="13" s="1"/>
  <c r="B973" i="13"/>
  <c r="B974" i="13"/>
  <c r="C974" i="13" s="1"/>
  <c r="B975" i="13"/>
  <c r="B976" i="13"/>
  <c r="B977" i="13"/>
  <c r="H977" i="13" s="1"/>
  <c r="B978" i="13"/>
  <c r="F978" i="13" s="1"/>
  <c r="B979" i="13"/>
  <c r="H979" i="13" s="1"/>
  <c r="B980" i="13"/>
  <c r="B981" i="13"/>
  <c r="B982" i="13"/>
  <c r="H982" i="13" s="1"/>
  <c r="B983" i="13"/>
  <c r="B984" i="13"/>
  <c r="B985" i="13"/>
  <c r="B986" i="13"/>
  <c r="G986" i="13" s="1"/>
  <c r="B987" i="13"/>
  <c r="B988" i="13"/>
  <c r="E988" i="13" s="1"/>
  <c r="B989" i="13"/>
  <c r="B990" i="13"/>
  <c r="E990" i="13" s="1"/>
  <c r="B991" i="13"/>
  <c r="H991" i="13" s="1"/>
  <c r="B992" i="13"/>
  <c r="B993" i="13"/>
  <c r="B994" i="13"/>
  <c r="E994" i="13" s="1"/>
  <c r="B995" i="13"/>
  <c r="B996" i="13"/>
  <c r="B997" i="13"/>
  <c r="H997" i="13" s="1"/>
  <c r="B998" i="13"/>
  <c r="H998" i="13" s="1"/>
  <c r="B999" i="13"/>
  <c r="B1000" i="13"/>
  <c r="B1001" i="13"/>
  <c r="C1001" i="13" s="1"/>
  <c r="B1002" i="13"/>
  <c r="E1002" i="13" s="1"/>
  <c r="B1003" i="13"/>
  <c r="B1004" i="13"/>
  <c r="B1005" i="13"/>
  <c r="H1005" i="13" s="1"/>
  <c r="B1006" i="13"/>
  <c r="G1006" i="13" s="1"/>
  <c r="B1007" i="13"/>
  <c r="J1007" i="13" s="1"/>
  <c r="I1007" i="13" s="1"/>
  <c r="B1008" i="13"/>
  <c r="B1009" i="13"/>
  <c r="B1010" i="13"/>
  <c r="C1010" i="13" s="1"/>
  <c r="B1011" i="13"/>
  <c r="H1011" i="13" s="1"/>
  <c r="B1012" i="13"/>
  <c r="B1013" i="13"/>
  <c r="F1013" i="13" s="1"/>
  <c r="B1014" i="13"/>
  <c r="G1014" i="13" s="1"/>
  <c r="B1015" i="13"/>
  <c r="B1016" i="13"/>
  <c r="F1016" i="13" s="1"/>
  <c r="B1017" i="13"/>
  <c r="D1017" i="13" s="1"/>
  <c r="B1018" i="13"/>
  <c r="C1018" i="13" s="1"/>
  <c r="B1019" i="13"/>
  <c r="H1019" i="13" s="1"/>
  <c r="B1020" i="13"/>
  <c r="B1021" i="13"/>
  <c r="C1021" i="13" s="1"/>
  <c r="B1022" i="13"/>
  <c r="F1022" i="13" s="1"/>
  <c r="B1023" i="13"/>
  <c r="B1024" i="13"/>
  <c r="B1025" i="13"/>
  <c r="B1026" i="13"/>
  <c r="G1026" i="13" s="1"/>
  <c r="B1027" i="13"/>
  <c r="C1027" i="13" s="1"/>
  <c r="B1028" i="13"/>
  <c r="B1029" i="13"/>
  <c r="B1030" i="13"/>
  <c r="C1030" i="13" s="1"/>
  <c r="B1031" i="13"/>
  <c r="B1032" i="13"/>
  <c r="B1033" i="13"/>
  <c r="F1033" i="13" s="1"/>
  <c r="B1034" i="13"/>
  <c r="C1034" i="13" s="1"/>
  <c r="B1035" i="13"/>
  <c r="H1035" i="13" s="1"/>
  <c r="B1036" i="13"/>
  <c r="B1037" i="13"/>
  <c r="H1037" i="13" s="1"/>
  <c r="B1038" i="13"/>
  <c r="C1038" i="13" s="1"/>
  <c r="B1039" i="13"/>
  <c r="B1040" i="13"/>
  <c r="B1041" i="13"/>
  <c r="B1042" i="13"/>
  <c r="H1042" i="13" s="1"/>
  <c r="B1043" i="13"/>
  <c r="B1044" i="13"/>
  <c r="E1044" i="13" s="1"/>
  <c r="B1045" i="13"/>
  <c r="C1045" i="13" s="1"/>
  <c r="B1046" i="13"/>
  <c r="H1046" i="13" s="1"/>
  <c r="B1047" i="13"/>
  <c r="B1048" i="13"/>
  <c r="E1048" i="13" s="1"/>
  <c r="B1049" i="13"/>
  <c r="B1050" i="13"/>
  <c r="E1050" i="13" s="1"/>
  <c r="B1051" i="13"/>
  <c r="H1051" i="13" s="1"/>
  <c r="B1052" i="13"/>
  <c r="E1052" i="13" s="1"/>
  <c r="B1053" i="13"/>
  <c r="C1053" i="13" s="1"/>
  <c r="B1054" i="13"/>
  <c r="C1054" i="13" s="1"/>
  <c r="B1055" i="13"/>
  <c r="B1056" i="13"/>
  <c r="B1057" i="13"/>
  <c r="C1057" i="13" s="1"/>
  <c r="B1058" i="13"/>
  <c r="F1058" i="13" s="1"/>
  <c r="B1059" i="13"/>
  <c r="B1060" i="13"/>
  <c r="E7" i="13"/>
  <c r="K12" i="13" s="1"/>
  <c r="C18" i="13"/>
  <c r="G18" i="13" s="1"/>
  <c r="F343" i="13"/>
  <c r="B1" i="13"/>
  <c r="M3" i="13"/>
  <c r="O7" i="13"/>
  <c r="O8" i="13" s="1"/>
  <c r="N8" i="13"/>
  <c r="N12" i="13"/>
  <c r="N7" i="13"/>
  <c r="Z14" i="13"/>
  <c r="K8" i="13"/>
  <c r="K7" i="13"/>
  <c r="H354" i="13"/>
  <c r="H566" i="13"/>
  <c r="H342" i="13"/>
  <c r="F327" i="13"/>
  <c r="E347" i="13"/>
  <c r="C406" i="13"/>
  <c r="C750" i="13"/>
  <c r="H474" i="13"/>
  <c r="C846" i="13"/>
  <c r="C374" i="13"/>
  <c r="C346" i="13"/>
  <c r="G918" i="13"/>
  <c r="H394" i="13"/>
  <c r="H398" i="13"/>
  <c r="H390" i="13"/>
  <c r="H386" i="13"/>
  <c r="F334" i="13"/>
  <c r="G366" i="13"/>
  <c r="G926" i="13"/>
  <c r="C498" i="13"/>
  <c r="G349" i="13"/>
  <c r="H341" i="13"/>
  <c r="H377" i="13"/>
  <c r="H406" i="13"/>
  <c r="H678" i="13"/>
  <c r="C770" i="13"/>
  <c r="G398" i="13"/>
  <c r="G382" i="13"/>
  <c r="H358" i="13"/>
  <c r="H350" i="13"/>
  <c r="G326" i="13"/>
  <c r="H742" i="13"/>
  <c r="H582" i="13"/>
  <c r="C622" i="13"/>
  <c r="G694" i="13"/>
  <c r="F514" i="13"/>
  <c r="C410" i="13"/>
  <c r="G378" i="13"/>
  <c r="G422" i="13"/>
  <c r="C446" i="13"/>
  <c r="C414" i="13"/>
  <c r="H410" i="13"/>
  <c r="G390" i="13"/>
  <c r="G362" i="13"/>
  <c r="C334" i="13"/>
  <c r="G418" i="13"/>
  <c r="H414" i="13"/>
  <c r="G342" i="13"/>
  <c r="G478" i="13"/>
  <c r="H514" i="13"/>
  <c r="G630" i="13"/>
  <c r="H478" i="13"/>
  <c r="G582" i="13"/>
  <c r="F902" i="13"/>
  <c r="G384" i="13"/>
  <c r="G414" i="13"/>
  <c r="G406" i="13"/>
  <c r="C370" i="13"/>
  <c r="G490" i="13"/>
  <c r="E982" i="13"/>
  <c r="D954" i="13"/>
  <c r="H946" i="13"/>
  <c r="D942" i="13"/>
  <c r="F942" i="13"/>
  <c r="H942" i="13"/>
  <c r="E938" i="13"/>
  <c r="F938" i="13"/>
  <c r="D934" i="13"/>
  <c r="H934" i="13"/>
  <c r="G930" i="13"/>
  <c r="F922" i="13"/>
  <c r="D910" i="13"/>
  <c r="C910" i="13"/>
  <c r="H906" i="13"/>
  <c r="E902" i="13"/>
  <c r="D898" i="13"/>
  <c r="C894" i="13"/>
  <c r="H894" i="13"/>
  <c r="F886" i="13"/>
  <c r="C886" i="13"/>
  <c r="H882" i="13"/>
  <c r="D870" i="13"/>
  <c r="H870" i="13"/>
  <c r="C866" i="13"/>
  <c r="F862" i="13"/>
  <c r="C862" i="13"/>
  <c r="D854" i="13"/>
  <c r="H854" i="13"/>
  <c r="E846" i="13"/>
  <c r="D838" i="13"/>
  <c r="H838" i="13"/>
  <c r="C838" i="13"/>
  <c r="C830" i="13"/>
  <c r="G830" i="13"/>
  <c r="G826" i="13"/>
  <c r="F822" i="13"/>
  <c r="H822" i="13"/>
  <c r="F814" i="13"/>
  <c r="D810" i="13"/>
  <c r="C810" i="13"/>
  <c r="G806" i="13"/>
  <c r="D798" i="13"/>
  <c r="F798" i="13"/>
  <c r="C798" i="13"/>
  <c r="D794" i="13"/>
  <c r="D790" i="13"/>
  <c r="F790" i="13"/>
  <c r="D782" i="13"/>
  <c r="G782" i="13"/>
  <c r="H778" i="13"/>
  <c r="E774" i="13"/>
  <c r="F774" i="13"/>
  <c r="D766" i="13"/>
  <c r="F766" i="13"/>
  <c r="G766" i="13"/>
  <c r="C762" i="13"/>
  <c r="F758" i="13"/>
  <c r="C758" i="13"/>
  <c r="F750" i="13"/>
  <c r="G750" i="13"/>
  <c r="D742" i="13"/>
  <c r="F738" i="13"/>
  <c r="G734" i="13"/>
  <c r="C734" i="13"/>
  <c r="H722" i="13"/>
  <c r="G718" i="13"/>
  <c r="D714" i="13"/>
  <c r="E710" i="13"/>
  <c r="H710" i="13"/>
  <c r="C706" i="13"/>
  <c r="D702" i="13"/>
  <c r="F702" i="13"/>
  <c r="H694" i="13"/>
  <c r="C694" i="13"/>
  <c r="H690" i="13"/>
  <c r="C686" i="13"/>
  <c r="G686" i="13"/>
  <c r="D678" i="13"/>
  <c r="E678" i="13"/>
  <c r="E674" i="13"/>
  <c r="J670" i="13"/>
  <c r="I670" i="13" s="1"/>
  <c r="H670" i="13"/>
  <c r="D662" i="13"/>
  <c r="J662" i="13"/>
  <c r="I662" i="13" s="1"/>
  <c r="E658" i="13"/>
  <c r="H654" i="13"/>
  <c r="G654" i="13"/>
  <c r="F646" i="13"/>
  <c r="J642" i="13"/>
  <c r="I642" i="13" s="1"/>
  <c r="D638" i="13"/>
  <c r="H638" i="13"/>
  <c r="C638" i="13"/>
  <c r="J634" i="13"/>
  <c r="I634" i="13" s="1"/>
  <c r="C630" i="13"/>
  <c r="E630" i="13"/>
  <c r="F630" i="13"/>
  <c r="F626" i="13"/>
  <c r="D622" i="13"/>
  <c r="J622" i="13"/>
  <c r="I622" i="13" s="1"/>
  <c r="E622" i="13"/>
  <c r="F622" i="13"/>
  <c r="G622" i="13"/>
  <c r="E618" i="13"/>
  <c r="E614" i="13"/>
  <c r="F614" i="13"/>
  <c r="H614" i="13"/>
  <c r="G614" i="13"/>
  <c r="H610" i="13"/>
  <c r="D606" i="13"/>
  <c r="F606" i="13"/>
  <c r="C606" i="13"/>
  <c r="H606" i="13"/>
  <c r="E606" i="13"/>
  <c r="J602" i="13"/>
  <c r="I602" i="13" s="1"/>
  <c r="F602" i="13"/>
  <c r="F598" i="13"/>
  <c r="E598" i="13"/>
  <c r="G598" i="13"/>
  <c r="E594" i="13"/>
  <c r="G594" i="13"/>
  <c r="F594" i="13"/>
  <c r="D590" i="13"/>
  <c r="E590" i="13"/>
  <c r="G590" i="13"/>
  <c r="H590" i="13"/>
  <c r="F590" i="13"/>
  <c r="D586" i="13"/>
  <c r="E582" i="13"/>
  <c r="F582" i="13"/>
  <c r="D578" i="13"/>
  <c r="E578" i="13"/>
  <c r="F578" i="13"/>
  <c r="D574" i="13"/>
  <c r="H574" i="13"/>
  <c r="F574" i="13"/>
  <c r="E574" i="13"/>
  <c r="C574" i="13"/>
  <c r="J574" i="13"/>
  <c r="I574" i="13" s="1"/>
  <c r="F570" i="13"/>
  <c r="F566" i="13"/>
  <c r="G566" i="13"/>
  <c r="E566" i="13"/>
  <c r="C562" i="13"/>
  <c r="D558" i="13"/>
  <c r="F558" i="13"/>
  <c r="G558" i="13"/>
  <c r="H558" i="13"/>
  <c r="E558" i="13"/>
  <c r="E554" i="13"/>
  <c r="F554" i="13"/>
  <c r="G554" i="13"/>
  <c r="E550" i="13"/>
  <c r="C550" i="13"/>
  <c r="F550" i="13"/>
  <c r="F546" i="13"/>
  <c r="G546" i="13"/>
  <c r="J546" i="13"/>
  <c r="I546" i="13" s="1"/>
  <c r="E546" i="13"/>
  <c r="D542" i="13"/>
  <c r="J542" i="13"/>
  <c r="I542" i="13" s="1"/>
  <c r="E542" i="13"/>
  <c r="F542" i="13"/>
  <c r="E538" i="13"/>
  <c r="G538" i="13"/>
  <c r="F538" i="13"/>
  <c r="F534" i="13"/>
  <c r="G534" i="13"/>
  <c r="E534" i="13"/>
  <c r="C534" i="13"/>
  <c r="D530" i="13"/>
  <c r="J530" i="13"/>
  <c r="I530" i="13" s="1"/>
  <c r="E530" i="13"/>
  <c r="D526" i="13"/>
  <c r="C526" i="13"/>
  <c r="F526" i="13"/>
  <c r="D522" i="13"/>
  <c r="E522" i="13"/>
  <c r="C518" i="13"/>
  <c r="F518" i="13"/>
  <c r="E518" i="13"/>
  <c r="H518" i="13"/>
  <c r="D514" i="13"/>
  <c r="J514" i="13"/>
  <c r="I514" i="13" s="1"/>
  <c r="G514" i="13"/>
  <c r="D510" i="13"/>
  <c r="E510" i="13"/>
  <c r="F510" i="13"/>
  <c r="J510" i="13"/>
  <c r="I510" i="13" s="1"/>
  <c r="H510" i="13"/>
  <c r="G510" i="13"/>
  <c r="D506" i="13"/>
  <c r="C506" i="13"/>
  <c r="F502" i="13"/>
  <c r="E502" i="13"/>
  <c r="C502" i="13"/>
  <c r="D498" i="13"/>
  <c r="J498" i="13"/>
  <c r="I498" i="13" s="1"/>
  <c r="H498" i="13"/>
  <c r="F498" i="13"/>
  <c r="G498" i="13"/>
  <c r="D494" i="13"/>
  <c r="G494" i="13"/>
  <c r="E494" i="13"/>
  <c r="F494" i="13"/>
  <c r="H494" i="13"/>
  <c r="C494" i="13"/>
  <c r="D490" i="13"/>
  <c r="E490" i="13"/>
  <c r="J490" i="13"/>
  <c r="I490" i="13" s="1"/>
  <c r="F486" i="13"/>
  <c r="E486" i="13"/>
  <c r="H486" i="13"/>
  <c r="C486" i="13"/>
  <c r="D482" i="13"/>
  <c r="G482" i="13"/>
  <c r="J482" i="13"/>
  <c r="I482" i="13" s="1"/>
  <c r="E482" i="13"/>
  <c r="F482" i="13"/>
  <c r="D478" i="13"/>
  <c r="J478" i="13"/>
  <c r="I478" i="13" s="1"/>
  <c r="F478" i="13"/>
  <c r="E478" i="13"/>
  <c r="D474" i="13"/>
  <c r="E474" i="13"/>
  <c r="C474" i="13"/>
  <c r="F470" i="13"/>
  <c r="E470" i="13"/>
  <c r="H470" i="13"/>
  <c r="G470" i="13"/>
  <c r="D466" i="13"/>
  <c r="E466" i="13"/>
  <c r="C466" i="13"/>
  <c r="H466" i="13"/>
  <c r="G466" i="13"/>
  <c r="J466" i="13"/>
  <c r="I466" i="13" s="1"/>
  <c r="D462" i="13"/>
  <c r="J462" i="13"/>
  <c r="I462" i="13" s="1"/>
  <c r="F462" i="13"/>
  <c r="C462" i="13"/>
  <c r="E462" i="13"/>
  <c r="G462" i="13"/>
  <c r="D458" i="13"/>
  <c r="J458" i="13"/>
  <c r="I458" i="13" s="1"/>
  <c r="C458" i="13"/>
  <c r="G458" i="13"/>
  <c r="E458" i="13"/>
  <c r="F458" i="13"/>
  <c r="E454" i="13"/>
  <c r="F454" i="13"/>
  <c r="C454" i="13"/>
  <c r="H454" i="13"/>
  <c r="D450" i="13"/>
  <c r="J450" i="13"/>
  <c r="I450" i="13" s="1"/>
  <c r="H450" i="13"/>
  <c r="E450" i="13"/>
  <c r="F450" i="13"/>
  <c r="D446" i="13"/>
  <c r="J446" i="13"/>
  <c r="I446" i="13" s="1"/>
  <c r="F446" i="13"/>
  <c r="E446" i="13"/>
  <c r="H446" i="13"/>
  <c r="D442" i="13"/>
  <c r="E442" i="13"/>
  <c r="F442" i="13"/>
  <c r="H438" i="13"/>
  <c r="G438" i="13"/>
  <c r="E438" i="13"/>
  <c r="F438" i="13"/>
  <c r="D434" i="13"/>
  <c r="E434" i="13"/>
  <c r="F434" i="13"/>
  <c r="C434" i="13"/>
  <c r="H434" i="13"/>
  <c r="J434" i="13"/>
  <c r="I434" i="13" s="1"/>
  <c r="D430" i="13"/>
  <c r="J430" i="13"/>
  <c r="I430" i="13" s="1"/>
  <c r="C430" i="13"/>
  <c r="E430" i="13"/>
  <c r="F430" i="13"/>
  <c r="H430" i="13"/>
  <c r="G430" i="13"/>
  <c r="D426" i="13"/>
  <c r="J426" i="13"/>
  <c r="I426" i="13" s="1"/>
  <c r="F426" i="13"/>
  <c r="E426" i="13"/>
  <c r="G426" i="13"/>
  <c r="C426" i="13"/>
  <c r="D422" i="13"/>
  <c r="C422" i="13"/>
  <c r="E422" i="13"/>
  <c r="F422" i="13"/>
  <c r="D418" i="13"/>
  <c r="E418" i="13"/>
  <c r="J418" i="13"/>
  <c r="I418" i="13" s="1"/>
  <c r="F418" i="13"/>
  <c r="D414" i="13"/>
  <c r="J414" i="13"/>
  <c r="I414" i="13" s="1"/>
  <c r="F414" i="13"/>
  <c r="D410" i="13"/>
  <c r="J410" i="13"/>
  <c r="I410" i="13" s="1"/>
  <c r="E410" i="13"/>
  <c r="F410" i="13"/>
  <c r="D406" i="13"/>
  <c r="E406" i="13"/>
  <c r="F406" i="13"/>
  <c r="D402" i="13"/>
  <c r="F402" i="13"/>
  <c r="J402" i="13"/>
  <c r="I402" i="13" s="1"/>
  <c r="E402" i="13"/>
  <c r="D398" i="13"/>
  <c r="J398" i="13"/>
  <c r="I398" i="13" s="1"/>
  <c r="E398" i="13"/>
  <c r="F398" i="13"/>
  <c r="D394" i="13"/>
  <c r="F394" i="13"/>
  <c r="J394" i="13"/>
  <c r="I394" i="13" s="1"/>
  <c r="D390" i="13"/>
  <c r="E390" i="13"/>
  <c r="F390" i="13"/>
  <c r="J390" i="13"/>
  <c r="I390" i="13" s="1"/>
  <c r="D386" i="13"/>
  <c r="F386" i="13"/>
  <c r="J386" i="13"/>
  <c r="I386" i="13" s="1"/>
  <c r="E386" i="13"/>
  <c r="D382" i="13"/>
  <c r="J382" i="13"/>
  <c r="I382" i="13" s="1"/>
  <c r="F382" i="13"/>
  <c r="E382" i="13"/>
  <c r="H382" i="13"/>
  <c r="D378" i="13"/>
  <c r="E378" i="13"/>
  <c r="F378" i="13"/>
  <c r="J378" i="13"/>
  <c r="I378" i="13" s="1"/>
  <c r="H378" i="13"/>
  <c r="D374" i="13"/>
  <c r="J374" i="13"/>
  <c r="I374" i="13" s="1"/>
  <c r="E374" i="13"/>
  <c r="F374" i="13"/>
  <c r="H374" i="13"/>
  <c r="D370" i="13"/>
  <c r="E370" i="13"/>
  <c r="H370" i="13"/>
  <c r="D366" i="13"/>
  <c r="J366" i="13"/>
  <c r="I366" i="13" s="1"/>
  <c r="F366" i="13"/>
  <c r="C366" i="13"/>
  <c r="E366" i="13"/>
  <c r="D362" i="13"/>
  <c r="J362" i="13"/>
  <c r="I362" i="13" s="1"/>
  <c r="E362" i="13"/>
  <c r="F362" i="13"/>
  <c r="C362" i="13"/>
  <c r="D358" i="13"/>
  <c r="F358" i="13"/>
  <c r="J358" i="13"/>
  <c r="I358" i="13" s="1"/>
  <c r="E358" i="13"/>
  <c r="C358" i="13"/>
  <c r="D354" i="13"/>
  <c r="J354" i="13"/>
  <c r="I354" i="13" s="1"/>
  <c r="C354" i="13"/>
  <c r="E354" i="13"/>
  <c r="F354" i="13"/>
  <c r="D350" i="13"/>
  <c r="J350" i="13"/>
  <c r="I350" i="13" s="1"/>
  <c r="E350" i="13"/>
  <c r="F350" i="13"/>
  <c r="G350" i="13"/>
  <c r="D346" i="13"/>
  <c r="F346" i="13"/>
  <c r="G346" i="13"/>
  <c r="J346" i="13"/>
  <c r="I346" i="13" s="1"/>
  <c r="D342" i="13"/>
  <c r="J342" i="13"/>
  <c r="I342" i="13" s="1"/>
  <c r="F342" i="13"/>
  <c r="E342" i="13"/>
  <c r="D334" i="13"/>
  <c r="J334" i="13"/>
  <c r="I334" i="13" s="1"/>
  <c r="H334" i="13"/>
  <c r="D330" i="13"/>
  <c r="J330" i="13"/>
  <c r="I330" i="13" s="1"/>
  <c r="F330" i="13"/>
  <c r="C330" i="13"/>
  <c r="E330" i="13"/>
  <c r="E326" i="13"/>
  <c r="F326" i="13"/>
  <c r="C326" i="13"/>
  <c r="B20" i="13"/>
  <c r="C20" i="13" s="1"/>
  <c r="C19" i="13"/>
  <c r="G934" i="13"/>
  <c r="C1022" i="13"/>
  <c r="H598" i="13"/>
  <c r="C614" i="13"/>
  <c r="G646" i="13"/>
  <c r="C666" i="13"/>
  <c r="C690" i="13"/>
  <c r="C722" i="13"/>
  <c r="C746" i="13"/>
  <c r="H770" i="13"/>
  <c r="C818" i="13"/>
  <c r="H862" i="13"/>
  <c r="C926" i="13"/>
  <c r="C970" i="13"/>
  <c r="C902" i="13"/>
  <c r="C586" i="13"/>
  <c r="C642" i="13"/>
  <c r="H686" i="13"/>
  <c r="C726" i="13"/>
  <c r="H790" i="13"/>
  <c r="H830" i="13"/>
  <c r="H858" i="13"/>
  <c r="C898" i="13"/>
  <c r="C942" i="13"/>
  <c r="C1014" i="13"/>
  <c r="H442" i="13"/>
  <c r="C482" i="13"/>
  <c r="C450" i="13"/>
  <c r="G502" i="13"/>
  <c r="C646" i="13"/>
  <c r="H902" i="13"/>
  <c r="F678" i="13"/>
  <c r="F638" i="13"/>
  <c r="F562" i="13"/>
  <c r="F522" i="13"/>
  <c r="F490" i="13"/>
  <c r="E334" i="13"/>
  <c r="E526" i="13"/>
  <c r="J370" i="13"/>
  <c r="I370" i="13" s="1"/>
  <c r="J442" i="13"/>
  <c r="I442" i="13" s="1"/>
  <c r="G1021" i="13"/>
  <c r="C948" i="13"/>
  <c r="E756" i="13"/>
  <c r="E492" i="13"/>
  <c r="F444" i="13"/>
  <c r="E428" i="13"/>
  <c r="E404" i="13"/>
  <c r="F372" i="13"/>
  <c r="E344" i="13"/>
  <c r="D336" i="13"/>
  <c r="D332" i="13"/>
  <c r="G332" i="13"/>
  <c r="F324" i="13"/>
  <c r="E320" i="13"/>
  <c r="G380" i="13"/>
  <c r="H444" i="13"/>
  <c r="F432" i="13"/>
  <c r="G924" i="13"/>
  <c r="F724" i="13"/>
  <c r="F608" i="13"/>
  <c r="F508" i="13"/>
  <c r="G1004" i="13"/>
  <c r="F560" i="13"/>
  <c r="F520" i="13"/>
  <c r="F328" i="13"/>
  <c r="E784" i="13"/>
  <c r="F672" i="13"/>
  <c r="E584" i="13"/>
  <c r="F504" i="13"/>
  <c r="F496" i="13"/>
  <c r="E460" i="13"/>
  <c r="G344" i="13"/>
  <c r="G872" i="13"/>
  <c r="G388" i="13"/>
  <c r="C324" i="13"/>
  <c r="G696" i="13"/>
  <c r="H564" i="13"/>
  <c r="F948" i="13"/>
  <c r="E324" i="13"/>
  <c r="H1030" i="13"/>
  <c r="C934" i="13"/>
  <c r="F930" i="13"/>
  <c r="F918" i="13"/>
  <c r="F910" i="13"/>
  <c r="F898" i="13"/>
  <c r="F890" i="13"/>
  <c r="F878" i="13"/>
  <c r="F866" i="13"/>
  <c r="F854" i="13"/>
  <c r="E694" i="13"/>
  <c r="E718" i="13"/>
  <c r="J658" i="13"/>
  <c r="I658" i="13" s="1"/>
  <c r="J690" i="13"/>
  <c r="I690" i="13" s="1"/>
  <c r="G1038" i="13"/>
  <c r="F946" i="13"/>
  <c r="F934" i="13"/>
  <c r="F926" i="13"/>
  <c r="F906" i="13"/>
  <c r="F882" i="13"/>
  <c r="E758" i="13"/>
  <c r="E798" i="13"/>
  <c r="E854" i="13"/>
  <c r="E918" i="13"/>
  <c r="J762" i="13"/>
  <c r="I762" i="13" s="1"/>
  <c r="J854" i="13"/>
  <c r="I854" i="13" s="1"/>
  <c r="G969" i="13"/>
  <c r="G721" i="13"/>
  <c r="G621" i="13"/>
  <c r="F609" i="13"/>
  <c r="H577" i="13"/>
  <c r="F545" i="13"/>
  <c r="C505" i="13"/>
  <c r="C485" i="13"/>
  <c r="J445" i="13"/>
  <c r="I445" i="13" s="1"/>
  <c r="G429" i="13"/>
  <c r="J401" i="13"/>
  <c r="I401" i="13" s="1"/>
  <c r="E357" i="13"/>
  <c r="J337" i="13"/>
  <c r="I337" i="13" s="1"/>
  <c r="G1001" i="13"/>
  <c r="F972" i="13"/>
  <c r="E742" i="13"/>
  <c r="J694" i="13"/>
  <c r="I694" i="13" s="1"/>
  <c r="F993" i="13"/>
  <c r="H789" i="13"/>
  <c r="C681" i="13"/>
  <c r="F617" i="13"/>
  <c r="G601" i="13"/>
  <c r="H585" i="13"/>
  <c r="H569" i="13"/>
  <c r="E553" i="13"/>
  <c r="H541" i="13"/>
  <c r="C525" i="13"/>
  <c r="H509" i="13"/>
  <c r="H489" i="13"/>
  <c r="J469" i="13"/>
  <c r="I469" i="13" s="1"/>
  <c r="H449" i="13"/>
  <c r="C421" i="13"/>
  <c r="E321" i="13"/>
  <c r="F1008" i="13"/>
  <c r="E782" i="13"/>
  <c r="E942" i="13"/>
  <c r="J722" i="13"/>
  <c r="I722" i="13" s="1"/>
  <c r="J822" i="13"/>
  <c r="I822" i="13" s="1"/>
  <c r="E670" i="13"/>
  <c r="E686" i="13"/>
  <c r="E702" i="13"/>
  <c r="E714" i="13"/>
  <c r="E730" i="13"/>
  <c r="E746" i="13"/>
  <c r="E770" i="13"/>
  <c r="E790" i="13"/>
  <c r="E878" i="13"/>
  <c r="J650" i="13"/>
  <c r="I650" i="13" s="1"/>
  <c r="J674" i="13"/>
  <c r="I674" i="13" s="1"/>
  <c r="J702" i="13"/>
  <c r="I702" i="13" s="1"/>
  <c r="J774" i="13"/>
  <c r="I774" i="13" s="1"/>
  <c r="J838" i="13"/>
  <c r="I838" i="13" s="1"/>
  <c r="E786" i="13"/>
  <c r="E802" i="13"/>
  <c r="E822" i="13"/>
  <c r="E870" i="13"/>
  <c r="E894" i="13"/>
  <c r="E926" i="13"/>
  <c r="J718" i="13"/>
  <c r="I718" i="13" s="1"/>
  <c r="J766" i="13"/>
  <c r="I766" i="13" s="1"/>
  <c r="E738" i="13"/>
  <c r="E766" i="13"/>
  <c r="E794" i="13"/>
  <c r="E830" i="13"/>
  <c r="E862" i="13"/>
  <c r="E910" i="13"/>
  <c r="E934" i="13"/>
  <c r="J686" i="13"/>
  <c r="I686" i="13" s="1"/>
  <c r="J710" i="13"/>
  <c r="I710" i="13" s="1"/>
  <c r="J742" i="13"/>
  <c r="I742" i="13" s="1"/>
  <c r="J790" i="13"/>
  <c r="I790" i="13" s="1"/>
  <c r="J830" i="13"/>
  <c r="I830" i="13" s="1"/>
  <c r="J918" i="13"/>
  <c r="I918" i="13" s="1"/>
  <c r="F979" i="13"/>
  <c r="H879" i="13"/>
  <c r="H807" i="13"/>
  <c r="C763" i="13"/>
  <c r="D715" i="13"/>
  <c r="F675" i="13"/>
  <c r="E639" i="13"/>
  <c r="E599" i="13"/>
  <c r="F567" i="13"/>
  <c r="E535" i="13"/>
  <c r="E511" i="13"/>
  <c r="H483" i="13"/>
  <c r="J703" i="13"/>
  <c r="I703" i="13" s="1"/>
  <c r="H863" i="13"/>
  <c r="D419" i="13"/>
  <c r="D331" i="13"/>
  <c r="E970" i="13"/>
  <c r="J447" i="13"/>
  <c r="I447" i="13" s="1"/>
  <c r="E810" i="13"/>
  <c r="E818" i="13"/>
  <c r="E834" i="13"/>
  <c r="E842" i="13"/>
  <c r="E850" i="13"/>
  <c r="E866" i="13"/>
  <c r="E874" i="13"/>
  <c r="E882" i="13"/>
  <c r="E890" i="13"/>
  <c r="E898" i="13"/>
  <c r="E914" i="13"/>
  <c r="E930" i="13"/>
  <c r="J730" i="13"/>
  <c r="I730" i="13" s="1"/>
  <c r="J798" i="13"/>
  <c r="I798" i="13" s="1"/>
  <c r="J842" i="13"/>
  <c r="I842" i="13" s="1"/>
  <c r="J930" i="13"/>
  <c r="I930" i="13" s="1"/>
  <c r="D617" i="13"/>
  <c r="E609" i="13"/>
  <c r="D601" i="13"/>
  <c r="D593" i="13"/>
  <c r="E589" i="13"/>
  <c r="J581" i="13"/>
  <c r="I581" i="13" s="1"/>
  <c r="D573" i="13"/>
  <c r="D565" i="13"/>
  <c r="E561" i="13"/>
  <c r="D553" i="13"/>
  <c r="D545" i="13"/>
  <c r="E541" i="13"/>
  <c r="F537" i="13"/>
  <c r="D529" i="13"/>
  <c r="D525" i="13"/>
  <c r="D521" i="13"/>
  <c r="J517" i="13"/>
  <c r="I517" i="13" s="1"/>
  <c r="E513" i="13"/>
  <c r="F509" i="13"/>
  <c r="D501" i="13"/>
  <c r="J497" i="13"/>
  <c r="I497" i="13" s="1"/>
  <c r="J493" i="13"/>
  <c r="I493" i="13" s="1"/>
  <c r="J489" i="13"/>
  <c r="I489" i="13" s="1"/>
  <c r="F485" i="13"/>
  <c r="F481" i="13"/>
  <c r="D473" i="13"/>
  <c r="F469" i="13"/>
  <c r="F465" i="13"/>
  <c r="F461" i="13"/>
  <c r="J453" i="13"/>
  <c r="I453" i="13" s="1"/>
  <c r="E449" i="13"/>
  <c r="F445" i="13"/>
  <c r="D437" i="13"/>
  <c r="E433" i="13"/>
  <c r="J429" i="13"/>
  <c r="I429" i="13" s="1"/>
  <c r="D421" i="13"/>
  <c r="J417" i="13"/>
  <c r="I417" i="13" s="1"/>
  <c r="E413" i="13"/>
  <c r="F409" i="13"/>
  <c r="D401" i="13"/>
  <c r="J397" i="13"/>
  <c r="I397" i="13" s="1"/>
  <c r="J393" i="13"/>
  <c r="I393" i="13" s="1"/>
  <c r="D385" i="13"/>
  <c r="D381" i="13"/>
  <c r="D377" i="13"/>
  <c r="F373" i="13"/>
  <c r="J369" i="13"/>
  <c r="I369" i="13" s="1"/>
  <c r="F369" i="13"/>
  <c r="J365" i="13"/>
  <c r="I365" i="13" s="1"/>
  <c r="E365" i="13"/>
  <c r="F365" i="13"/>
  <c r="J361" i="13"/>
  <c r="I361" i="13" s="1"/>
  <c r="F361" i="13"/>
  <c r="D357" i="13"/>
  <c r="F357" i="13"/>
  <c r="D353" i="13"/>
  <c r="J353" i="13"/>
  <c r="I353" i="13" s="1"/>
  <c r="F353" i="13"/>
  <c r="D349" i="13"/>
  <c r="E349" i="13"/>
  <c r="D345" i="13"/>
  <c r="J345" i="13"/>
  <c r="I345" i="13" s="1"/>
  <c r="F345" i="13"/>
  <c r="J341" i="13"/>
  <c r="I341" i="13" s="1"/>
  <c r="F341" i="13"/>
  <c r="D337" i="13"/>
  <c r="D325" i="13"/>
  <c r="E325" i="13"/>
  <c r="F325" i="13"/>
  <c r="E613" i="13"/>
  <c r="J573" i="13"/>
  <c r="I573" i="13" s="1"/>
  <c r="J870" i="13"/>
  <c r="I870" i="13" s="1"/>
  <c r="J934" i="13"/>
  <c r="I934" i="13" s="1"/>
  <c r="J894" i="13"/>
  <c r="I894" i="13" s="1"/>
  <c r="J898" i="13"/>
  <c r="I898" i="13" s="1"/>
  <c r="J946" i="13"/>
  <c r="I946" i="13" s="1"/>
  <c r="F1044" i="13"/>
  <c r="F1028" i="13"/>
  <c r="E872" i="13"/>
  <c r="F1048" i="13"/>
  <c r="F984" i="13"/>
  <c r="F968" i="13"/>
  <c r="F900" i="13"/>
  <c r="F868" i="13"/>
  <c r="F676" i="13"/>
  <c r="F644" i="13"/>
  <c r="E1024" i="13"/>
  <c r="E920" i="13"/>
  <c r="F920" i="13"/>
  <c r="F904" i="13"/>
  <c r="E892" i="13"/>
  <c r="F888" i="13"/>
  <c r="E876" i="13"/>
  <c r="F860" i="13"/>
  <c r="E856" i="13"/>
  <c r="F844" i="13"/>
  <c r="E840" i="13"/>
  <c r="F840" i="13"/>
  <c r="F828" i="13"/>
  <c r="E824" i="13"/>
  <c r="F824" i="13"/>
  <c r="F812" i="13"/>
  <c r="E808" i="13"/>
  <c r="F808" i="13"/>
  <c r="F796" i="13"/>
  <c r="E792" i="13"/>
  <c r="F792" i="13"/>
  <c r="F780" i="13"/>
  <c r="G764" i="13"/>
  <c r="F764" i="13"/>
  <c r="F760" i="13"/>
  <c r="F748" i="13"/>
  <c r="E748" i="13"/>
  <c r="F744" i="13"/>
  <c r="E732" i="13"/>
  <c r="F732" i="13"/>
  <c r="F728" i="13"/>
  <c r="E716" i="13"/>
  <c r="F716" i="13"/>
  <c r="F712" i="13"/>
  <c r="E700" i="13"/>
  <c r="F700" i="13"/>
  <c r="F696" i="13"/>
  <c r="F684" i="13"/>
  <c r="E684" i="13"/>
  <c r="F680" i="13"/>
  <c r="E668" i="13"/>
  <c r="F668" i="13"/>
  <c r="E652" i="13"/>
  <c r="E648" i="13"/>
  <c r="F648" i="13"/>
  <c r="F636" i="13"/>
  <c r="H632" i="13"/>
  <c r="F632" i="13"/>
  <c r="E456" i="13"/>
  <c r="H416" i="13"/>
  <c r="E416" i="13"/>
  <c r="E408" i="13"/>
  <c r="C388" i="13"/>
  <c r="E388" i="13"/>
  <c r="E380" i="13"/>
  <c r="C356" i="13"/>
  <c r="E356" i="13"/>
  <c r="D333" i="13"/>
  <c r="J333" i="13"/>
  <c r="I333" i="13" s="1"/>
  <c r="E333" i="13"/>
  <c r="F333" i="13"/>
  <c r="D329" i="13"/>
  <c r="J329" i="13"/>
  <c r="I329" i="13" s="1"/>
  <c r="E329" i="13"/>
  <c r="F329" i="13"/>
  <c r="E764" i="13"/>
  <c r="E796" i="13"/>
  <c r="E924" i="13"/>
  <c r="C1016" i="13"/>
  <c r="E1016" i="13"/>
  <c r="C976" i="13"/>
  <c r="H952" i="13"/>
  <c r="E952" i="13"/>
  <c r="H944" i="13"/>
  <c r="G928" i="13"/>
  <c r="E928" i="13"/>
  <c r="H896" i="13"/>
  <c r="H864" i="13"/>
  <c r="E864" i="13"/>
  <c r="G836" i="13"/>
  <c r="E836" i="13"/>
  <c r="H820" i="13"/>
  <c r="E820" i="13"/>
  <c r="C788" i="13"/>
  <c r="E788" i="13"/>
  <c r="C772" i="13"/>
  <c r="E772" i="13"/>
  <c r="G740" i="13"/>
  <c r="E740" i="13"/>
  <c r="C660" i="13"/>
  <c r="E660" i="13"/>
  <c r="G640" i="13"/>
  <c r="E640" i="13"/>
  <c r="C568" i="13"/>
  <c r="E568" i="13"/>
  <c r="C548" i="13"/>
  <c r="E548" i="13"/>
  <c r="G524" i="13"/>
  <c r="E524" i="13"/>
  <c r="C500" i="13"/>
  <c r="E500" i="13"/>
  <c r="C484" i="13"/>
  <c r="E484" i="13"/>
  <c r="H472" i="13"/>
  <c r="E472" i="13"/>
  <c r="D344" i="13"/>
  <c r="J344" i="13"/>
  <c r="I344" i="13" s="1"/>
  <c r="D340" i="13"/>
  <c r="J340" i="13"/>
  <c r="I340" i="13" s="1"/>
  <c r="J859" i="13"/>
  <c r="I859" i="13" s="1"/>
  <c r="E677" i="13"/>
  <c r="G677" i="13"/>
  <c r="F677" i="13"/>
  <c r="G885" i="13"/>
  <c r="H1057" i="13"/>
  <c r="G1009" i="13"/>
  <c r="C849" i="13"/>
  <c r="C977" i="13"/>
  <c r="G757" i="13"/>
  <c r="G633" i="13"/>
  <c r="G973" i="13"/>
  <c r="G1045" i="13"/>
  <c r="G965" i="13"/>
  <c r="G961" i="13"/>
  <c r="H1017" i="13"/>
  <c r="G841" i="13"/>
  <c r="G997" i="13"/>
  <c r="H901" i="13"/>
  <c r="H1033" i="13"/>
  <c r="C945" i="13"/>
  <c r="G925" i="13"/>
  <c r="G1013" i="13"/>
  <c r="H945" i="13"/>
  <c r="G825" i="13"/>
  <c r="H969" i="13"/>
  <c r="C917" i="13"/>
  <c r="H1021" i="13"/>
  <c r="H981" i="13"/>
  <c r="H1029" i="13"/>
  <c r="H1013" i="13"/>
  <c r="C1017" i="13"/>
  <c r="C1049" i="13"/>
  <c r="C1033" i="13"/>
  <c r="C969" i="13"/>
  <c r="C809" i="13"/>
  <c r="C697" i="13"/>
  <c r="C665" i="13"/>
  <c r="H773" i="13"/>
  <c r="H725" i="13"/>
  <c r="H685" i="13"/>
  <c r="H641" i="13"/>
  <c r="D949" i="13"/>
  <c r="F949" i="13"/>
  <c r="D941" i="13"/>
  <c r="J941" i="13"/>
  <c r="I941" i="13" s="1"/>
  <c r="F941" i="13"/>
  <c r="E937" i="13"/>
  <c r="F937" i="13"/>
  <c r="E933" i="13"/>
  <c r="F933" i="13"/>
  <c r="E929" i="13"/>
  <c r="F929" i="13"/>
  <c r="E925" i="13"/>
  <c r="F925" i="13"/>
  <c r="E921" i="13"/>
  <c r="F921" i="13"/>
  <c r="E917" i="13"/>
  <c r="F917" i="13"/>
  <c r="D913" i="13"/>
  <c r="J913" i="13"/>
  <c r="I913" i="13" s="1"/>
  <c r="E913" i="13"/>
  <c r="F913" i="13"/>
  <c r="E909" i="13"/>
  <c r="F909" i="13"/>
  <c r="D905" i="13"/>
  <c r="E905" i="13"/>
  <c r="J905" i="13"/>
  <c r="I905" i="13" s="1"/>
  <c r="F905" i="13"/>
  <c r="E901" i="13"/>
  <c r="F901" i="13"/>
  <c r="E897" i="13"/>
  <c r="F897" i="13"/>
  <c r="E893" i="13"/>
  <c r="F893" i="13"/>
  <c r="E889" i="13"/>
  <c r="F889" i="13"/>
  <c r="E885" i="13"/>
  <c r="F885" i="13"/>
  <c r="E881" i="13"/>
  <c r="F881" i="13"/>
  <c r="E877" i="13"/>
  <c r="F877" i="13"/>
  <c r="D873" i="13"/>
  <c r="E873" i="13"/>
  <c r="F873" i="13"/>
  <c r="E869" i="13"/>
  <c r="F869" i="13"/>
  <c r="D865" i="13"/>
  <c r="E865" i="13"/>
  <c r="F865" i="13"/>
  <c r="E861" i="13"/>
  <c r="F861" i="13"/>
  <c r="E857" i="13"/>
  <c r="F857" i="13"/>
  <c r="E853" i="13"/>
  <c r="F853" i="13"/>
  <c r="E849" i="13"/>
  <c r="F849" i="13"/>
  <c r="E845" i="13"/>
  <c r="F845" i="13"/>
  <c r="E841" i="13"/>
  <c r="F841" i="13"/>
  <c r="D837" i="13"/>
  <c r="E837" i="13"/>
  <c r="F837" i="13"/>
  <c r="E833" i="13"/>
  <c r="G833" i="13"/>
  <c r="F833" i="13"/>
  <c r="E829" i="13"/>
  <c r="F829" i="13"/>
  <c r="E825" i="13"/>
  <c r="F825" i="13"/>
  <c r="E821" i="13"/>
  <c r="F821" i="13"/>
  <c r="E817" i="13"/>
  <c r="F817" i="13"/>
  <c r="E813" i="13"/>
  <c r="F813" i="13"/>
  <c r="D809" i="13"/>
  <c r="E809" i="13"/>
  <c r="F809" i="13"/>
  <c r="E805" i="13"/>
  <c r="F805" i="13"/>
  <c r="E801" i="13"/>
  <c r="F801" i="13"/>
  <c r="E797" i="13"/>
  <c r="F797" i="13"/>
  <c r="E793" i="13"/>
  <c r="F793" i="13"/>
  <c r="E789" i="13"/>
  <c r="G789" i="13"/>
  <c r="F789" i="13"/>
  <c r="E785" i="13"/>
  <c r="F785" i="13"/>
  <c r="E781" i="13"/>
  <c r="F781" i="13"/>
  <c r="D777" i="13"/>
  <c r="E777" i="13"/>
  <c r="F777" i="13"/>
  <c r="E773" i="13"/>
  <c r="F773" i="13"/>
  <c r="E769" i="13"/>
  <c r="F769" i="13"/>
  <c r="E765" i="13"/>
  <c r="G765" i="13"/>
  <c r="F765" i="13"/>
  <c r="E761" i="13"/>
  <c r="G761" i="13"/>
  <c r="F761" i="13"/>
  <c r="E757" i="13"/>
  <c r="F757" i="13"/>
  <c r="E753" i="13"/>
  <c r="F753" i="13"/>
  <c r="E749" i="13"/>
  <c r="F749" i="13"/>
  <c r="D745" i="13"/>
  <c r="E745" i="13"/>
  <c r="J745" i="13"/>
  <c r="I745" i="13" s="1"/>
  <c r="F745" i="13"/>
  <c r="E741" i="13"/>
  <c r="F741" i="13"/>
  <c r="E737" i="13"/>
  <c r="G737" i="13"/>
  <c r="F737" i="13"/>
  <c r="E733" i="13"/>
  <c r="G733" i="13"/>
  <c r="F733" i="13"/>
  <c r="E729" i="13"/>
  <c r="F729" i="13"/>
  <c r="E725" i="13"/>
  <c r="F725" i="13"/>
  <c r="D721" i="13"/>
  <c r="E721" i="13"/>
  <c r="J721" i="13"/>
  <c r="I721" i="13" s="1"/>
  <c r="F721" i="13"/>
  <c r="E717" i="13"/>
  <c r="G717" i="13"/>
  <c r="F717" i="13"/>
  <c r="E713" i="13"/>
  <c r="F713" i="13"/>
  <c r="D709" i="13"/>
  <c r="J709" i="13"/>
  <c r="I709" i="13" s="1"/>
  <c r="K709" i="13" s="1"/>
  <c r="E709" i="13"/>
  <c r="G709" i="13"/>
  <c r="F709" i="13"/>
  <c r="E705" i="13"/>
  <c r="H705" i="13"/>
  <c r="F705" i="13"/>
  <c r="E701" i="13"/>
  <c r="G701" i="13"/>
  <c r="F701" i="13"/>
  <c r="D697" i="13"/>
  <c r="E697" i="13"/>
  <c r="J697" i="13"/>
  <c r="I697" i="13" s="1"/>
  <c r="F697" i="13"/>
  <c r="E693" i="13"/>
  <c r="F693" i="13"/>
  <c r="E689" i="13"/>
  <c r="H689" i="13"/>
  <c r="F689" i="13"/>
  <c r="E681" i="13"/>
  <c r="G681" i="13"/>
  <c r="F681" i="13"/>
  <c r="E673" i="13"/>
  <c r="H673" i="13"/>
  <c r="F673" i="13"/>
  <c r="E669" i="13"/>
  <c r="F669" i="13"/>
  <c r="E665" i="13"/>
  <c r="F665" i="13"/>
  <c r="E661" i="13"/>
  <c r="F661" i="13"/>
  <c r="D657" i="13"/>
  <c r="E657" i="13"/>
  <c r="J657" i="13"/>
  <c r="I657" i="13" s="1"/>
  <c r="H657" i="13"/>
  <c r="F657" i="13"/>
  <c r="E653" i="13"/>
  <c r="F653" i="13"/>
  <c r="E649" i="13"/>
  <c r="F649" i="13"/>
  <c r="D645" i="13"/>
  <c r="E645" i="13"/>
  <c r="J645" i="13"/>
  <c r="I645" i="13" s="1"/>
  <c r="F645" i="13"/>
  <c r="D641" i="13"/>
  <c r="J641" i="13"/>
  <c r="I641" i="13" s="1"/>
  <c r="E641" i="13"/>
  <c r="F641" i="13"/>
  <c r="D637" i="13"/>
  <c r="E637" i="13"/>
  <c r="H637" i="13"/>
  <c r="J637" i="13"/>
  <c r="I637" i="13" s="1"/>
  <c r="F637" i="13"/>
  <c r="D633" i="13"/>
  <c r="E633" i="13"/>
  <c r="J633" i="13"/>
  <c r="I633" i="13" s="1"/>
  <c r="F633" i="13"/>
  <c r="D629" i="13"/>
  <c r="E629" i="13"/>
  <c r="J629" i="13"/>
  <c r="I629" i="13" s="1"/>
  <c r="F629" i="13"/>
  <c r="G821" i="13"/>
  <c r="G949" i="13"/>
  <c r="G1057" i="13"/>
  <c r="G1041" i="13"/>
  <c r="G977" i="13"/>
  <c r="G1029" i="13"/>
  <c r="H845" i="13"/>
  <c r="G657" i="13"/>
  <c r="G653" i="13"/>
  <c r="G665" i="13"/>
  <c r="G861" i="13"/>
  <c r="G869" i="13"/>
  <c r="G921" i="13"/>
  <c r="G1017" i="13"/>
  <c r="H1045" i="13"/>
  <c r="G1037" i="13"/>
  <c r="G729" i="13"/>
  <c r="G805" i="13"/>
  <c r="G901" i="13"/>
  <c r="H813" i="13"/>
  <c r="H965" i="13"/>
  <c r="C929" i="13"/>
  <c r="C1005" i="13"/>
  <c r="H985" i="13"/>
  <c r="G837" i="13"/>
  <c r="H929" i="13"/>
  <c r="C989" i="13"/>
  <c r="H897" i="13"/>
  <c r="C1013" i="13"/>
  <c r="H885" i="13"/>
  <c r="C949" i="13"/>
  <c r="H1001" i="13"/>
  <c r="H1049" i="13"/>
  <c r="H933" i="13"/>
  <c r="G813" i="13"/>
  <c r="C1041" i="13"/>
  <c r="C1025" i="13"/>
  <c r="C997" i="13"/>
  <c r="C953" i="13"/>
  <c r="C909" i="13"/>
  <c r="C893" i="13"/>
  <c r="C873" i="13"/>
  <c r="C857" i="13"/>
  <c r="C833" i="13"/>
  <c r="C817" i="13"/>
  <c r="C801" i="13"/>
  <c r="C785" i="13"/>
  <c r="C769" i="13"/>
  <c r="C753" i="13"/>
  <c r="C737" i="13"/>
  <c r="C721" i="13"/>
  <c r="C705" i="13"/>
  <c r="C689" i="13"/>
  <c r="C673" i="13"/>
  <c r="C657" i="13"/>
  <c r="C641" i="13"/>
  <c r="H941" i="13"/>
  <c r="H873" i="13"/>
  <c r="H841" i="13"/>
  <c r="H825" i="13"/>
  <c r="H797" i="13"/>
  <c r="H781" i="13"/>
  <c r="H765" i="13"/>
  <c r="H749" i="13"/>
  <c r="H733" i="13"/>
  <c r="H717" i="13"/>
  <c r="H697" i="13"/>
  <c r="H677" i="13"/>
  <c r="H653" i="13"/>
  <c r="H629" i="13"/>
  <c r="G801" i="13"/>
  <c r="G745" i="13"/>
  <c r="G713" i="13"/>
  <c r="G673" i="13"/>
  <c r="F1057" i="13"/>
  <c r="F1053" i="13"/>
  <c r="F1037" i="13"/>
  <c r="F1025" i="13"/>
  <c r="F1021" i="13"/>
  <c r="F1017" i="13"/>
  <c r="F1009" i="13"/>
  <c r="F1005" i="13"/>
  <c r="F1001" i="13"/>
  <c r="F997" i="13"/>
  <c r="F985" i="13"/>
  <c r="F981" i="13"/>
  <c r="F977" i="13"/>
  <c r="F973" i="13"/>
  <c r="F969" i="13"/>
  <c r="J873" i="13"/>
  <c r="I873" i="13" s="1"/>
  <c r="J969" i="13"/>
  <c r="I969" i="13" s="1"/>
  <c r="D1033" i="13"/>
  <c r="J1033" i="13"/>
  <c r="I1033" i="13" s="1"/>
  <c r="E685" i="13"/>
  <c r="F685" i="13"/>
  <c r="G853" i="13"/>
  <c r="G689" i="13"/>
  <c r="H909" i="13"/>
  <c r="C845" i="13"/>
  <c r="G753" i="13"/>
  <c r="G941" i="13"/>
  <c r="G629" i="13"/>
  <c r="G661" i="13"/>
  <c r="G873" i="13"/>
  <c r="G1005" i="13"/>
  <c r="G881" i="13"/>
  <c r="G957" i="13"/>
  <c r="G1033" i="13"/>
  <c r="H1053" i="13"/>
  <c r="G893" i="13"/>
  <c r="G769" i="13"/>
  <c r="G817" i="13"/>
  <c r="G929" i="13"/>
  <c r="H889" i="13"/>
  <c r="C937" i="13"/>
  <c r="G857" i="13"/>
  <c r="G777" i="13"/>
  <c r="G945" i="13"/>
  <c r="H861" i="13"/>
  <c r="H937" i="13"/>
  <c r="H925" i="13"/>
  <c r="H821" i="13"/>
  <c r="G909" i="13"/>
  <c r="G1053" i="13"/>
  <c r="H957" i="13"/>
  <c r="C933" i="13"/>
  <c r="C905" i="13"/>
  <c r="C889" i="13"/>
  <c r="C869" i="13"/>
  <c r="C853" i="13"/>
  <c r="C829" i="13"/>
  <c r="C813" i="13"/>
  <c r="C797" i="13"/>
  <c r="C781" i="13"/>
  <c r="C765" i="13"/>
  <c r="C749" i="13"/>
  <c r="C733" i="13"/>
  <c r="C717" i="13"/>
  <c r="C701" i="13"/>
  <c r="C685" i="13"/>
  <c r="C669" i="13"/>
  <c r="C653" i="13"/>
  <c r="C637" i="13"/>
  <c r="H905" i="13"/>
  <c r="H865" i="13"/>
  <c r="H837" i="13"/>
  <c r="H817" i="13"/>
  <c r="H793" i="13"/>
  <c r="H777" i="13"/>
  <c r="H761" i="13"/>
  <c r="H745" i="13"/>
  <c r="H729" i="13"/>
  <c r="H713" i="13"/>
  <c r="H693" i="13"/>
  <c r="H669" i="13"/>
  <c r="H649" i="13"/>
  <c r="G785" i="13"/>
  <c r="G741" i="13"/>
  <c r="G705" i="13"/>
  <c r="G669" i="13"/>
  <c r="D886" i="13"/>
  <c r="J886" i="13"/>
  <c r="I886" i="13" s="1"/>
  <c r="D858" i="13"/>
  <c r="J858" i="13"/>
  <c r="I858" i="13" s="1"/>
  <c r="D846" i="13"/>
  <c r="J846" i="13"/>
  <c r="I846" i="13" s="1"/>
  <c r="D826" i="13"/>
  <c r="J826" i="13"/>
  <c r="I826" i="13" s="1"/>
  <c r="D814" i="13"/>
  <c r="J814" i="13"/>
  <c r="I814" i="13" s="1"/>
  <c r="D806" i="13"/>
  <c r="J806" i="13"/>
  <c r="I806" i="13" s="1"/>
  <c r="D778" i="13"/>
  <c r="J778" i="13"/>
  <c r="I778" i="13" s="1"/>
  <c r="D750" i="13"/>
  <c r="J750" i="13"/>
  <c r="I750" i="13" s="1"/>
  <c r="D734" i="13"/>
  <c r="J734" i="13"/>
  <c r="I734" i="13" s="1"/>
  <c r="D726" i="13"/>
  <c r="J726" i="13"/>
  <c r="I726" i="13" s="1"/>
  <c r="D706" i="13"/>
  <c r="J706" i="13"/>
  <c r="I706" i="13" s="1"/>
  <c r="D698" i="13"/>
  <c r="J698" i="13"/>
  <c r="I698" i="13" s="1"/>
  <c r="D654" i="13"/>
  <c r="J654" i="13"/>
  <c r="I654" i="13" s="1"/>
  <c r="D646" i="13"/>
  <c r="J646" i="13"/>
  <c r="I646" i="13" s="1"/>
  <c r="D630" i="13"/>
  <c r="J630" i="13"/>
  <c r="I630" i="13" s="1"/>
  <c r="D614" i="13"/>
  <c r="J614" i="13"/>
  <c r="I614" i="13" s="1"/>
  <c r="D598" i="13"/>
  <c r="J598" i="13"/>
  <c r="I598" i="13" s="1"/>
  <c r="D582" i="13"/>
  <c r="J582" i="13"/>
  <c r="I582" i="13" s="1"/>
  <c r="D566" i="13"/>
  <c r="J566" i="13"/>
  <c r="I566" i="13" s="1"/>
  <c r="D550" i="13"/>
  <c r="J550" i="13"/>
  <c r="I550" i="13" s="1"/>
  <c r="D534" i="13"/>
  <c r="J534" i="13"/>
  <c r="I534" i="13" s="1"/>
  <c r="D518" i="13"/>
  <c r="J518" i="13"/>
  <c r="I518" i="13" s="1"/>
  <c r="D502" i="13"/>
  <c r="J502" i="13"/>
  <c r="I502" i="13" s="1"/>
  <c r="D486" i="13"/>
  <c r="J486" i="13"/>
  <c r="I486" i="13" s="1"/>
  <c r="D470" i="13"/>
  <c r="J470" i="13"/>
  <c r="I470" i="13" s="1"/>
  <c r="D454" i="13"/>
  <c r="J454" i="13"/>
  <c r="I454" i="13" s="1"/>
  <c r="D438" i="13"/>
  <c r="J438" i="13"/>
  <c r="I438" i="13" s="1"/>
  <c r="E946" i="13"/>
  <c r="E962" i="13"/>
  <c r="E983" i="13"/>
  <c r="J494" i="13"/>
  <c r="I494" i="13" s="1"/>
  <c r="J499" i="13"/>
  <c r="I499" i="13" s="1"/>
  <c r="J506" i="13"/>
  <c r="I506" i="13" s="1"/>
  <c r="J526" i="13"/>
  <c r="I526" i="13" s="1"/>
  <c r="J531" i="13"/>
  <c r="I531" i="13" s="1"/>
  <c r="K530" i="13" s="1"/>
  <c r="J538" i="13"/>
  <c r="I538" i="13" s="1"/>
  <c r="J558" i="13"/>
  <c r="I558" i="13" s="1"/>
  <c r="J563" i="13"/>
  <c r="I563" i="13" s="1"/>
  <c r="J570" i="13"/>
  <c r="I570" i="13" s="1"/>
  <c r="J590" i="13"/>
  <c r="I590" i="13" s="1"/>
  <c r="J611" i="13"/>
  <c r="I611" i="13" s="1"/>
  <c r="J618" i="13"/>
  <c r="I618" i="13" s="1"/>
  <c r="J626" i="13"/>
  <c r="I626" i="13" s="1"/>
  <c r="J666" i="13"/>
  <c r="I666" i="13" s="1"/>
  <c r="J678" i="13"/>
  <c r="I678" i="13" s="1"/>
  <c r="J723" i="13"/>
  <c r="I723" i="13" s="1"/>
  <c r="J746" i="13"/>
  <c r="I746" i="13" s="1"/>
  <c r="J758" i="13"/>
  <c r="I758" i="13" s="1"/>
  <c r="J782" i="13"/>
  <c r="I782" i="13" s="1"/>
  <c r="J794" i="13"/>
  <c r="I794" i="13" s="1"/>
  <c r="J847" i="13"/>
  <c r="I847" i="13" s="1"/>
  <c r="J862" i="13"/>
  <c r="I862" i="13" s="1"/>
  <c r="J874" i="13"/>
  <c r="I874" i="13" s="1"/>
  <c r="J890" i="13"/>
  <c r="I890" i="13" s="1"/>
  <c r="J899" i="13"/>
  <c r="I899" i="13" s="1"/>
  <c r="J910" i="13"/>
  <c r="I910" i="13" s="1"/>
  <c r="J1003" i="13"/>
  <c r="I1003" i="13" s="1"/>
  <c r="D326" i="13"/>
  <c r="J326" i="13"/>
  <c r="I326" i="13" s="1"/>
  <c r="J878" i="13"/>
  <c r="I878" i="13" s="1"/>
  <c r="J902" i="13"/>
  <c r="I902" i="13" s="1"/>
  <c r="J914" i="13"/>
  <c r="I914" i="13" s="1"/>
  <c r="J926" i="13"/>
  <c r="I926" i="13" s="1"/>
  <c r="D1043" i="13"/>
  <c r="D959" i="13"/>
  <c r="J919" i="13"/>
  <c r="I919" i="13" s="1"/>
  <c r="J895" i="13"/>
  <c r="I895" i="13" s="1"/>
  <c r="J867" i="13"/>
  <c r="I867" i="13" s="1"/>
  <c r="J795" i="13"/>
  <c r="I795" i="13" s="1"/>
  <c r="J767" i="13"/>
  <c r="I767" i="13" s="1"/>
  <c r="J743" i="13"/>
  <c r="I743" i="13" s="1"/>
  <c r="J711" i="13"/>
  <c r="I711" i="13" s="1"/>
  <c r="J683" i="13"/>
  <c r="I683" i="13" s="1"/>
  <c r="J667" i="13"/>
  <c r="I667" i="13" s="1"/>
  <c r="J635" i="13"/>
  <c r="I635" i="13" s="1"/>
  <c r="J603" i="13"/>
  <c r="I603" i="13" s="1"/>
  <c r="J571" i="13"/>
  <c r="I571" i="13" s="1"/>
  <c r="J539" i="13"/>
  <c r="I539" i="13" s="1"/>
  <c r="J507" i="13"/>
  <c r="I507" i="13" s="1"/>
  <c r="J475" i="13"/>
  <c r="I475" i="13" s="1"/>
  <c r="J443" i="13"/>
  <c r="I443" i="13" s="1"/>
  <c r="J411" i="13"/>
  <c r="I411" i="13" s="1"/>
  <c r="K410" i="13" s="1"/>
  <c r="J379" i="13"/>
  <c r="I379" i="13" s="1"/>
  <c r="J347" i="13"/>
  <c r="I347" i="13" s="1"/>
  <c r="K346" i="13" s="1"/>
  <c r="J422" i="13"/>
  <c r="I422" i="13" s="1"/>
  <c r="J593" i="13"/>
  <c r="I593" i="13" s="1"/>
  <c r="J609" i="13"/>
  <c r="I609" i="13" s="1"/>
  <c r="J625" i="13"/>
  <c r="I625" i="13" s="1"/>
  <c r="K11" i="13"/>
  <c r="D1057" i="13"/>
  <c r="J1057" i="13"/>
  <c r="I1057" i="13" s="1"/>
  <c r="D1053" i="13"/>
  <c r="J1053" i="13"/>
  <c r="I1053" i="13" s="1"/>
  <c r="D1049" i="13"/>
  <c r="J1049" i="13"/>
  <c r="I1049" i="13" s="1"/>
  <c r="D1045" i="13"/>
  <c r="J1045" i="13"/>
  <c r="I1045" i="13" s="1"/>
  <c r="D1041" i="13"/>
  <c r="J1041" i="13"/>
  <c r="I1041" i="13" s="1"/>
  <c r="D1037" i="13"/>
  <c r="J1037" i="13"/>
  <c r="I1037" i="13" s="1"/>
  <c r="D1029" i="13"/>
  <c r="J1029" i="13"/>
  <c r="I1029" i="13" s="1"/>
  <c r="D1025" i="13"/>
  <c r="J1025" i="13"/>
  <c r="I1025" i="13" s="1"/>
  <c r="D1021" i="13"/>
  <c r="J1021" i="13"/>
  <c r="I1021" i="13" s="1"/>
  <c r="D1013" i="13"/>
  <c r="J1013" i="13"/>
  <c r="I1013" i="13" s="1"/>
  <c r="D1009" i="13"/>
  <c r="J1009" i="13"/>
  <c r="I1009" i="13" s="1"/>
  <c r="D1005" i="13"/>
  <c r="J1005" i="13"/>
  <c r="I1005" i="13" s="1"/>
  <c r="D1001" i="13"/>
  <c r="J1001" i="13"/>
  <c r="I1001" i="13" s="1"/>
  <c r="D997" i="13"/>
  <c r="J997" i="13"/>
  <c r="I997" i="13" s="1"/>
  <c r="D993" i="13"/>
  <c r="J993" i="13"/>
  <c r="I993" i="13" s="1"/>
  <c r="D989" i="13"/>
  <c r="J989" i="13"/>
  <c r="I989" i="13" s="1"/>
  <c r="D985" i="13"/>
  <c r="J985" i="13"/>
  <c r="I985" i="13" s="1"/>
  <c r="D981" i="13"/>
  <c r="J981" i="13"/>
  <c r="I981" i="13" s="1"/>
  <c r="D977" i="13"/>
  <c r="J977" i="13"/>
  <c r="I977" i="13" s="1"/>
  <c r="D973" i="13"/>
  <c r="J973" i="13"/>
  <c r="I973" i="13" s="1"/>
  <c r="D965" i="13"/>
  <c r="J965" i="13"/>
  <c r="I965" i="13" s="1"/>
  <c r="D961" i="13"/>
  <c r="J961" i="13"/>
  <c r="I961" i="13" s="1"/>
  <c r="D957" i="13"/>
  <c r="J957" i="13"/>
  <c r="I957" i="13" s="1"/>
  <c r="D953" i="13"/>
  <c r="J953" i="13"/>
  <c r="I953" i="13" s="1"/>
  <c r="D945" i="13"/>
  <c r="J945" i="13"/>
  <c r="I945" i="13" s="1"/>
  <c r="D937" i="13"/>
  <c r="J937" i="13"/>
  <c r="I937" i="13" s="1"/>
  <c r="D933" i="13"/>
  <c r="J933" i="13"/>
  <c r="I933" i="13" s="1"/>
  <c r="D929" i="13"/>
  <c r="J929" i="13"/>
  <c r="I929" i="13" s="1"/>
  <c r="D925" i="13"/>
  <c r="J925" i="13"/>
  <c r="I925" i="13" s="1"/>
  <c r="D921" i="13"/>
  <c r="J921" i="13"/>
  <c r="I921" i="13" s="1"/>
  <c r="D917" i="13"/>
  <c r="J917" i="13"/>
  <c r="I917" i="13" s="1"/>
  <c r="D909" i="13"/>
  <c r="J909" i="13"/>
  <c r="I909" i="13" s="1"/>
  <c r="D901" i="13"/>
  <c r="J901" i="13"/>
  <c r="I901" i="13" s="1"/>
  <c r="D897" i="13"/>
  <c r="J897" i="13"/>
  <c r="I897" i="13" s="1"/>
  <c r="D893" i="13"/>
  <c r="J893" i="13"/>
  <c r="I893" i="13" s="1"/>
  <c r="K893" i="13" s="1"/>
  <c r="D889" i="13"/>
  <c r="J889" i="13"/>
  <c r="I889" i="13" s="1"/>
  <c r="D885" i="13"/>
  <c r="J885" i="13"/>
  <c r="I885" i="13" s="1"/>
  <c r="D881" i="13"/>
  <c r="J881" i="13"/>
  <c r="I881" i="13" s="1"/>
  <c r="D877" i="13"/>
  <c r="J877" i="13"/>
  <c r="I877" i="13" s="1"/>
  <c r="D869" i="13"/>
  <c r="J869" i="13"/>
  <c r="I869" i="13" s="1"/>
  <c r="D861" i="13"/>
  <c r="J861" i="13"/>
  <c r="I861" i="13" s="1"/>
  <c r="D857" i="13"/>
  <c r="J857" i="13"/>
  <c r="I857" i="13" s="1"/>
  <c r="D853" i="13"/>
  <c r="J853" i="13"/>
  <c r="I853" i="13" s="1"/>
  <c r="D849" i="13"/>
  <c r="J849" i="13"/>
  <c r="I849" i="13" s="1"/>
  <c r="D845" i="13"/>
  <c r="J845" i="13"/>
  <c r="I845" i="13" s="1"/>
  <c r="D841" i="13"/>
  <c r="J841" i="13"/>
  <c r="I841" i="13" s="1"/>
  <c r="D833" i="13"/>
  <c r="J833" i="13"/>
  <c r="I833" i="13" s="1"/>
  <c r="D829" i="13"/>
  <c r="J829" i="13"/>
  <c r="I829" i="13" s="1"/>
  <c r="D825" i="13"/>
  <c r="J825" i="13"/>
  <c r="I825" i="13" s="1"/>
  <c r="D821" i="13"/>
  <c r="J821" i="13"/>
  <c r="I821" i="13" s="1"/>
  <c r="D817" i="13"/>
  <c r="J817" i="13"/>
  <c r="I817" i="13" s="1"/>
  <c r="D813" i="13"/>
  <c r="J813" i="13"/>
  <c r="I813" i="13" s="1"/>
  <c r="D805" i="13"/>
  <c r="J805" i="13"/>
  <c r="I805" i="13" s="1"/>
  <c r="D801" i="13"/>
  <c r="J801" i="13"/>
  <c r="I801" i="13" s="1"/>
  <c r="D797" i="13"/>
  <c r="J797" i="13"/>
  <c r="I797" i="13" s="1"/>
  <c r="D793" i="13"/>
  <c r="J793" i="13"/>
  <c r="I793" i="13" s="1"/>
  <c r="D789" i="13"/>
  <c r="J789" i="13"/>
  <c r="I789" i="13" s="1"/>
  <c r="D785" i="13"/>
  <c r="J785" i="13"/>
  <c r="I785" i="13" s="1"/>
  <c r="D781" i="13"/>
  <c r="J781" i="13"/>
  <c r="I781" i="13" s="1"/>
  <c r="D773" i="13"/>
  <c r="J773" i="13"/>
  <c r="I773" i="13" s="1"/>
  <c r="D769" i="13"/>
  <c r="J769" i="13"/>
  <c r="I769" i="13" s="1"/>
  <c r="D765" i="13"/>
  <c r="J765" i="13"/>
  <c r="I765" i="13" s="1"/>
  <c r="D761" i="13"/>
  <c r="J761" i="13"/>
  <c r="I761" i="13" s="1"/>
  <c r="D757" i="13"/>
  <c r="J757" i="13"/>
  <c r="I757" i="13" s="1"/>
  <c r="D753" i="13"/>
  <c r="J753" i="13"/>
  <c r="I753" i="13" s="1"/>
  <c r="D749" i="13"/>
  <c r="J749" i="13"/>
  <c r="I749" i="13" s="1"/>
  <c r="D741" i="13"/>
  <c r="J741" i="13"/>
  <c r="I741" i="13" s="1"/>
  <c r="D737" i="13"/>
  <c r="J737" i="13"/>
  <c r="I737" i="13" s="1"/>
  <c r="D733" i="13"/>
  <c r="J733" i="13"/>
  <c r="I733" i="13" s="1"/>
  <c r="D729" i="13"/>
  <c r="J729" i="13"/>
  <c r="I729" i="13" s="1"/>
  <c r="D725" i="13"/>
  <c r="J725" i="13"/>
  <c r="I725" i="13" s="1"/>
  <c r="D717" i="13"/>
  <c r="J717" i="13"/>
  <c r="I717" i="13" s="1"/>
  <c r="D713" i="13"/>
  <c r="J713" i="13"/>
  <c r="I713" i="13" s="1"/>
  <c r="D705" i="13"/>
  <c r="J705" i="13"/>
  <c r="I705" i="13" s="1"/>
  <c r="D701" i="13"/>
  <c r="J701" i="13"/>
  <c r="I701" i="13" s="1"/>
  <c r="D693" i="13"/>
  <c r="J693" i="13"/>
  <c r="I693" i="13" s="1"/>
  <c r="D689" i="13"/>
  <c r="J689" i="13"/>
  <c r="I689" i="13" s="1"/>
  <c r="D685" i="13"/>
  <c r="J685" i="13"/>
  <c r="I685" i="13" s="1"/>
  <c r="D681" i="13"/>
  <c r="J681" i="13"/>
  <c r="I681" i="13" s="1"/>
  <c r="D677" i="13"/>
  <c r="J677" i="13"/>
  <c r="I677" i="13" s="1"/>
  <c r="D673" i="13"/>
  <c r="J673" i="13"/>
  <c r="I673" i="13" s="1"/>
  <c r="D669" i="13"/>
  <c r="J669" i="13"/>
  <c r="I669" i="13" s="1"/>
  <c r="K669" i="13" s="1"/>
  <c r="D665" i="13"/>
  <c r="J665" i="13"/>
  <c r="I665" i="13" s="1"/>
  <c r="D661" i="13"/>
  <c r="J661" i="13"/>
  <c r="I661" i="13" s="1"/>
  <c r="K661" i="13" s="1"/>
  <c r="D653" i="13"/>
  <c r="J653" i="13"/>
  <c r="I653" i="13" s="1"/>
  <c r="D649" i="13"/>
  <c r="J649" i="13"/>
  <c r="I649" i="13" s="1"/>
  <c r="J809" i="13"/>
  <c r="I809" i="13" s="1"/>
  <c r="J837" i="13"/>
  <c r="I837" i="13" s="1"/>
  <c r="J865" i="13"/>
  <c r="I865" i="13" s="1"/>
  <c r="J1017" i="13"/>
  <c r="I1017" i="13" s="1"/>
  <c r="E941" i="13"/>
  <c r="E945" i="13"/>
  <c r="E949" i="13"/>
  <c r="E953" i="13"/>
  <c r="E957" i="13"/>
  <c r="E961" i="13"/>
  <c r="E965" i="13"/>
  <c r="E969" i="13"/>
  <c r="E973" i="13"/>
  <c r="E977" i="13"/>
  <c r="E981" i="13"/>
  <c r="E985" i="13"/>
  <c r="E989" i="13"/>
  <c r="E993" i="13"/>
  <c r="E997" i="13"/>
  <c r="E1001" i="13"/>
  <c r="E1005" i="13"/>
  <c r="E1009" i="13"/>
  <c r="E1013" i="13"/>
  <c r="E1017" i="13"/>
  <c r="E1021" i="13"/>
  <c r="E1025" i="13"/>
  <c r="E1029" i="13"/>
  <c r="E1033" i="13"/>
  <c r="E1037" i="13"/>
  <c r="E1041" i="13"/>
  <c r="E1045" i="13"/>
  <c r="E1049" i="13"/>
  <c r="E1053" i="13"/>
  <c r="E1057" i="13"/>
  <c r="J777" i="13"/>
  <c r="I777" i="13" s="1"/>
  <c r="J949" i="13"/>
  <c r="I949" i="13" s="1"/>
  <c r="J982" i="13"/>
  <c r="I982" i="13" s="1"/>
  <c r="J958" i="13"/>
  <c r="I958" i="13" s="1"/>
  <c r="D938" i="13"/>
  <c r="J938" i="13"/>
  <c r="I938" i="13" s="1"/>
  <c r="D922" i="13"/>
  <c r="J922" i="13"/>
  <c r="I922" i="13" s="1"/>
  <c r="D906" i="13"/>
  <c r="J906" i="13"/>
  <c r="I906" i="13" s="1"/>
  <c r="J942" i="13"/>
  <c r="I942" i="13" s="1"/>
  <c r="J1023" i="13"/>
  <c r="I1023" i="13" s="1"/>
  <c r="D1031" i="13"/>
  <c r="J738" i="13"/>
  <c r="I738" i="13" s="1"/>
  <c r="J754" i="13"/>
  <c r="I754" i="13" s="1"/>
  <c r="J770" i="13"/>
  <c r="I770" i="13" s="1"/>
  <c r="J786" i="13"/>
  <c r="I786" i="13" s="1"/>
  <c r="J802" i="13"/>
  <c r="I802" i="13" s="1"/>
  <c r="J818" i="13"/>
  <c r="I818" i="13" s="1"/>
  <c r="J834" i="13"/>
  <c r="I834" i="13" s="1"/>
  <c r="K833" i="13" s="1"/>
  <c r="J839" i="13"/>
  <c r="I839" i="13" s="1"/>
  <c r="J850" i="13"/>
  <c r="I850" i="13" s="1"/>
  <c r="J866" i="13"/>
  <c r="I866" i="13" s="1"/>
  <c r="J871" i="13"/>
  <c r="I871" i="13" s="1"/>
  <c r="J882" i="13"/>
  <c r="I882" i="13" s="1"/>
  <c r="J927" i="13"/>
  <c r="I927" i="13" s="1"/>
  <c r="J987" i="13"/>
  <c r="I987" i="13" s="1"/>
  <c r="D955" i="13"/>
  <c r="D1060" i="13"/>
  <c r="J1060" i="13"/>
  <c r="I1060" i="13" s="1"/>
  <c r="K1060" i="13" s="1"/>
  <c r="H1060" i="13"/>
  <c r="D1052" i="13"/>
  <c r="J1052" i="13"/>
  <c r="I1052" i="13" s="1"/>
  <c r="C1052" i="13"/>
  <c r="D1044" i="13"/>
  <c r="J1044" i="13"/>
  <c r="I1044" i="13" s="1"/>
  <c r="C1044" i="13"/>
  <c r="H1044" i="13"/>
  <c r="G1044" i="13"/>
  <c r="D1036" i="13"/>
  <c r="J1036" i="13"/>
  <c r="I1036" i="13" s="1"/>
  <c r="C1036" i="13"/>
  <c r="G1036" i="13"/>
  <c r="D1028" i="13"/>
  <c r="J1028" i="13"/>
  <c r="I1028" i="13" s="1"/>
  <c r="H1028" i="13"/>
  <c r="D1020" i="13"/>
  <c r="J1020" i="13"/>
  <c r="I1020" i="13" s="1"/>
  <c r="C1020" i="13"/>
  <c r="H1020" i="13"/>
  <c r="D1012" i="13"/>
  <c r="J1012" i="13"/>
  <c r="I1012" i="13" s="1"/>
  <c r="G1012" i="13"/>
  <c r="D1004" i="13"/>
  <c r="J1004" i="13"/>
  <c r="I1004" i="13" s="1"/>
  <c r="H1004" i="13"/>
  <c r="D996" i="13"/>
  <c r="J996" i="13"/>
  <c r="I996" i="13" s="1"/>
  <c r="C996" i="13"/>
  <c r="D988" i="13"/>
  <c r="J988" i="13"/>
  <c r="I988" i="13" s="1"/>
  <c r="G988" i="13"/>
  <c r="C988" i="13"/>
  <c r="D980" i="13"/>
  <c r="J980" i="13"/>
  <c r="I980" i="13" s="1"/>
  <c r="H980" i="13"/>
  <c r="D972" i="13"/>
  <c r="J972" i="13"/>
  <c r="I972" i="13" s="1"/>
  <c r="C972" i="13"/>
  <c r="D964" i="13"/>
  <c r="J964" i="13"/>
  <c r="I964" i="13" s="1"/>
  <c r="D956" i="13"/>
  <c r="J956" i="13"/>
  <c r="I956" i="13" s="1"/>
  <c r="C956" i="13"/>
  <c r="G956" i="13"/>
  <c r="D948" i="13"/>
  <c r="J948" i="13"/>
  <c r="I948" i="13" s="1"/>
  <c r="D940" i="13"/>
  <c r="G940" i="13"/>
  <c r="J940" i="13"/>
  <c r="I940" i="13" s="1"/>
  <c r="D932" i="13"/>
  <c r="H932" i="13"/>
  <c r="J932" i="13"/>
  <c r="I932" i="13" s="1"/>
  <c r="C932" i="13"/>
  <c r="D920" i="13"/>
  <c r="J920" i="13"/>
  <c r="I920" i="13" s="1"/>
  <c r="D912" i="13"/>
  <c r="J912" i="13"/>
  <c r="I912" i="13" s="1"/>
  <c r="G912" i="13"/>
  <c r="D908" i="13"/>
  <c r="J908" i="13"/>
  <c r="I908" i="13" s="1"/>
  <c r="D900" i="13"/>
  <c r="C900" i="13"/>
  <c r="J900" i="13"/>
  <c r="I900" i="13" s="1"/>
  <c r="G900" i="13"/>
  <c r="D892" i="13"/>
  <c r="J892" i="13"/>
  <c r="I892" i="13" s="1"/>
  <c r="H892" i="13"/>
  <c r="D884" i="13"/>
  <c r="C884" i="13"/>
  <c r="J884" i="13"/>
  <c r="I884" i="13" s="1"/>
  <c r="D876" i="13"/>
  <c r="H876" i="13"/>
  <c r="J876" i="13"/>
  <c r="I876" i="13" s="1"/>
  <c r="D868" i="13"/>
  <c r="J868" i="13"/>
  <c r="I868" i="13" s="1"/>
  <c r="C868" i="13"/>
  <c r="H868" i="13"/>
  <c r="D856" i="13"/>
  <c r="J856" i="13"/>
  <c r="I856" i="13" s="1"/>
  <c r="G856" i="13"/>
  <c r="D848" i="13"/>
  <c r="J848" i="13"/>
  <c r="I848" i="13" s="1"/>
  <c r="H848" i="13"/>
  <c r="C848" i="13"/>
  <c r="G848" i="13"/>
  <c r="D840" i="13"/>
  <c r="J840" i="13"/>
  <c r="I840" i="13" s="1"/>
  <c r="C840" i="13"/>
  <c r="G840" i="13"/>
  <c r="D832" i="13"/>
  <c r="J832" i="13"/>
  <c r="I832" i="13" s="1"/>
  <c r="G832" i="13"/>
  <c r="H832" i="13"/>
  <c r="D824" i="13"/>
  <c r="J824" i="13"/>
  <c r="I824" i="13" s="1"/>
  <c r="D816" i="13"/>
  <c r="J816" i="13"/>
  <c r="I816" i="13" s="1"/>
  <c r="C816" i="13"/>
  <c r="H816" i="13"/>
  <c r="G816" i="13"/>
  <c r="D808" i="13"/>
  <c r="J808" i="13"/>
  <c r="I808" i="13" s="1"/>
  <c r="C808" i="13"/>
  <c r="H808" i="13"/>
  <c r="D800" i="13"/>
  <c r="J800" i="13"/>
  <c r="I800" i="13" s="1"/>
  <c r="C800" i="13"/>
  <c r="H800" i="13"/>
  <c r="G800" i="13"/>
  <c r="D792" i="13"/>
  <c r="J792" i="13"/>
  <c r="I792" i="13" s="1"/>
  <c r="G792" i="13"/>
  <c r="D784" i="13"/>
  <c r="J784" i="13"/>
  <c r="I784" i="13" s="1"/>
  <c r="H784" i="13"/>
  <c r="D776" i="13"/>
  <c r="J776" i="13"/>
  <c r="I776" i="13" s="1"/>
  <c r="H776" i="13"/>
  <c r="D768" i="13"/>
  <c r="J768" i="13"/>
  <c r="I768" i="13" s="1"/>
  <c r="C768" i="13"/>
  <c r="D760" i="13"/>
  <c r="J760" i="13"/>
  <c r="I760" i="13" s="1"/>
  <c r="H760" i="13"/>
  <c r="C760" i="13"/>
  <c r="D752" i="13"/>
  <c r="J752" i="13"/>
  <c r="I752" i="13" s="1"/>
  <c r="C752" i="13"/>
  <c r="D744" i="13"/>
  <c r="J744" i="13"/>
  <c r="I744" i="13" s="1"/>
  <c r="D732" i="13"/>
  <c r="J732" i="13"/>
  <c r="I732" i="13" s="1"/>
  <c r="G732" i="13"/>
  <c r="D724" i="13"/>
  <c r="J724" i="13"/>
  <c r="I724" i="13" s="1"/>
  <c r="G724" i="13"/>
  <c r="D716" i="13"/>
  <c r="J716" i="13"/>
  <c r="I716" i="13" s="1"/>
  <c r="C716" i="13"/>
  <c r="D708" i="13"/>
  <c r="J708" i="13"/>
  <c r="I708" i="13" s="1"/>
  <c r="H708" i="13"/>
  <c r="D700" i="13"/>
  <c r="H700" i="13"/>
  <c r="G700" i="13"/>
  <c r="J700" i="13"/>
  <c r="I700" i="13" s="1"/>
  <c r="D692" i="13"/>
  <c r="J692" i="13"/>
  <c r="I692" i="13" s="1"/>
  <c r="H692" i="13"/>
  <c r="D684" i="13"/>
  <c r="C684" i="13"/>
  <c r="J684" i="13"/>
  <c r="I684" i="13" s="1"/>
  <c r="G684" i="13"/>
  <c r="D676" i="13"/>
  <c r="C676" i="13"/>
  <c r="J676" i="13"/>
  <c r="I676" i="13" s="1"/>
  <c r="G676" i="13"/>
  <c r="D668" i="13"/>
  <c r="C668" i="13"/>
  <c r="J668" i="13"/>
  <c r="I668" i="13" s="1"/>
  <c r="D664" i="13"/>
  <c r="J664" i="13"/>
  <c r="I664" i="13" s="1"/>
  <c r="D656" i="13"/>
  <c r="J656" i="13"/>
  <c r="I656" i="13" s="1"/>
  <c r="C656" i="13"/>
  <c r="G656" i="13"/>
  <c r="D644" i="13"/>
  <c r="J644" i="13"/>
  <c r="I644" i="13" s="1"/>
  <c r="C644" i="13"/>
  <c r="H644" i="13"/>
  <c r="D636" i="13"/>
  <c r="G636" i="13"/>
  <c r="J636" i="13"/>
  <c r="I636" i="13" s="1"/>
  <c r="C636" i="13"/>
  <c r="D628" i="13"/>
  <c r="J628" i="13"/>
  <c r="I628" i="13" s="1"/>
  <c r="D620" i="13"/>
  <c r="C620" i="13"/>
  <c r="H620" i="13"/>
  <c r="J620" i="13"/>
  <c r="I620" i="13" s="1"/>
  <c r="D612" i="13"/>
  <c r="G612" i="13"/>
  <c r="J612" i="13"/>
  <c r="I612" i="13" s="1"/>
  <c r="D604" i="13"/>
  <c r="H604" i="13"/>
  <c r="J604" i="13"/>
  <c r="I604" i="13" s="1"/>
  <c r="D596" i="13"/>
  <c r="J596" i="13"/>
  <c r="I596" i="13" s="1"/>
  <c r="C596" i="13"/>
  <c r="H596" i="13"/>
  <c r="D588" i="13"/>
  <c r="J588" i="13"/>
  <c r="I588" i="13" s="1"/>
  <c r="H588" i="13"/>
  <c r="D580" i="13"/>
  <c r="C580" i="13"/>
  <c r="J580" i="13"/>
  <c r="I580" i="13" s="1"/>
  <c r="H580" i="13"/>
  <c r="D572" i="13"/>
  <c r="J572" i="13"/>
  <c r="I572" i="13" s="1"/>
  <c r="H572" i="13"/>
  <c r="D564" i="13"/>
  <c r="J564" i="13"/>
  <c r="I564" i="13" s="1"/>
  <c r="G564" i="13"/>
  <c r="D560" i="13"/>
  <c r="J560" i="13"/>
  <c r="I560" i="13" s="1"/>
  <c r="C560" i="13"/>
  <c r="H560" i="13"/>
  <c r="D552" i="13"/>
  <c r="J552" i="13"/>
  <c r="I552" i="13" s="1"/>
  <c r="C552" i="13"/>
  <c r="D544" i="13"/>
  <c r="J544" i="13"/>
  <c r="I544" i="13" s="1"/>
  <c r="G544" i="13"/>
  <c r="C544" i="13"/>
  <c r="D536" i="13"/>
  <c r="J536" i="13"/>
  <c r="I536" i="13" s="1"/>
  <c r="C536" i="13"/>
  <c r="D528" i="13"/>
  <c r="J528" i="13"/>
  <c r="I528" i="13" s="1"/>
  <c r="C528" i="13"/>
  <c r="D520" i="13"/>
  <c r="J520" i="13"/>
  <c r="I520" i="13" s="1"/>
  <c r="H520" i="13"/>
  <c r="G520" i="13"/>
  <c r="D512" i="13"/>
  <c r="J512" i="13"/>
  <c r="I512" i="13" s="1"/>
  <c r="H512" i="13"/>
  <c r="G512" i="13"/>
  <c r="D504" i="13"/>
  <c r="J504" i="13"/>
  <c r="I504" i="13" s="1"/>
  <c r="C504" i="13"/>
  <c r="D496" i="13"/>
  <c r="J496" i="13"/>
  <c r="I496" i="13" s="1"/>
  <c r="C496" i="13"/>
  <c r="D488" i="13"/>
  <c r="J488" i="13"/>
  <c r="I488" i="13" s="1"/>
  <c r="G488" i="13"/>
  <c r="C488" i="13"/>
  <c r="D476" i="13"/>
  <c r="H476" i="13"/>
  <c r="J476" i="13"/>
  <c r="I476" i="13" s="1"/>
  <c r="D468" i="13"/>
  <c r="J468" i="13"/>
  <c r="I468" i="13" s="1"/>
  <c r="C468" i="13"/>
  <c r="D460" i="13"/>
  <c r="J460" i="13"/>
  <c r="I460" i="13" s="1"/>
  <c r="H460" i="13"/>
  <c r="D452" i="13"/>
  <c r="J452" i="13"/>
  <c r="I452" i="13" s="1"/>
  <c r="H452" i="13"/>
  <c r="D444" i="13"/>
  <c r="J444" i="13"/>
  <c r="I444" i="13" s="1"/>
  <c r="C444" i="13"/>
  <c r="D436" i="13"/>
  <c r="J436" i="13"/>
  <c r="I436" i="13" s="1"/>
  <c r="H436" i="13"/>
  <c r="G436" i="13"/>
  <c r="D428" i="13"/>
  <c r="C428" i="13"/>
  <c r="J428" i="13"/>
  <c r="I428" i="13" s="1"/>
  <c r="G428" i="13"/>
  <c r="D420" i="13"/>
  <c r="G420" i="13"/>
  <c r="H420" i="13"/>
  <c r="J420" i="13"/>
  <c r="I420" i="13" s="1"/>
  <c r="D412" i="13"/>
  <c r="J412" i="13"/>
  <c r="I412" i="13" s="1"/>
  <c r="D404" i="13"/>
  <c r="J404" i="13"/>
  <c r="I404" i="13" s="1"/>
  <c r="D396" i="13"/>
  <c r="J396" i="13"/>
  <c r="I396" i="13" s="1"/>
  <c r="D392" i="13"/>
  <c r="J392" i="13"/>
  <c r="I392" i="13" s="1"/>
  <c r="D384" i="13"/>
  <c r="J384" i="13"/>
  <c r="I384" i="13" s="1"/>
  <c r="D376" i="13"/>
  <c r="J376" i="13"/>
  <c r="I376" i="13" s="1"/>
  <c r="D368" i="13"/>
  <c r="J368" i="13"/>
  <c r="I368" i="13" s="1"/>
  <c r="D360" i="13"/>
  <c r="J360" i="13"/>
  <c r="I360" i="13" s="1"/>
  <c r="D352" i="13"/>
  <c r="J352" i="13"/>
  <c r="I352" i="13" s="1"/>
  <c r="D348" i="13"/>
  <c r="J348" i="13"/>
  <c r="I348" i="13" s="1"/>
  <c r="D322" i="13"/>
  <c r="E322" i="13"/>
  <c r="F322" i="13"/>
  <c r="C322" i="13"/>
  <c r="C412" i="13"/>
  <c r="C404" i="13"/>
  <c r="H352" i="13"/>
  <c r="C348" i="13"/>
  <c r="H322" i="13"/>
  <c r="G1052" i="13"/>
  <c r="G1016" i="13"/>
  <c r="G528" i="13"/>
  <c r="G776" i="13"/>
  <c r="C732" i="13"/>
  <c r="C920" i="13"/>
  <c r="G560" i="13"/>
  <c r="H884" i="13"/>
  <c r="G452" i="13"/>
  <c r="G580" i="13"/>
  <c r="G668" i="13"/>
  <c r="G908" i="13"/>
  <c r="H536" i="13"/>
  <c r="H908" i="13"/>
  <c r="G536" i="13"/>
  <c r="G892" i="13"/>
  <c r="G868" i="13"/>
  <c r="G932" i="13"/>
  <c r="H1012" i="13"/>
  <c r="G788" i="13"/>
  <c r="H1016" i="13"/>
  <c r="G972" i="13"/>
  <c r="H428" i="13"/>
  <c r="G444" i="13"/>
  <c r="G568" i="13"/>
  <c r="G604" i="13"/>
  <c r="H628" i="13"/>
  <c r="H656" i="13"/>
  <c r="H676" i="13"/>
  <c r="C692" i="13"/>
  <c r="H972" i="13"/>
  <c r="H1024" i="13"/>
  <c r="C744" i="13"/>
  <c r="G708" i="13"/>
  <c r="C940" i="13"/>
  <c r="C512" i="13"/>
  <c r="C612" i="13"/>
  <c r="C876" i="13"/>
  <c r="C604" i="13"/>
  <c r="D1056" i="13"/>
  <c r="J1056" i="13"/>
  <c r="I1056" i="13" s="1"/>
  <c r="D1048" i="13"/>
  <c r="J1048" i="13"/>
  <c r="I1048" i="13" s="1"/>
  <c r="C1048" i="13"/>
  <c r="H1048" i="13"/>
  <c r="G1048" i="13"/>
  <c r="D1040" i="13"/>
  <c r="J1040" i="13"/>
  <c r="I1040" i="13" s="1"/>
  <c r="G1040" i="13"/>
  <c r="D1032" i="13"/>
  <c r="J1032" i="13"/>
  <c r="I1032" i="13" s="1"/>
  <c r="C1032" i="13"/>
  <c r="D1024" i="13"/>
  <c r="J1024" i="13"/>
  <c r="I1024" i="13" s="1"/>
  <c r="D1016" i="13"/>
  <c r="J1016" i="13"/>
  <c r="I1016" i="13" s="1"/>
  <c r="D1008" i="13"/>
  <c r="J1008" i="13"/>
  <c r="I1008" i="13" s="1"/>
  <c r="C1008" i="13"/>
  <c r="D1000" i="13"/>
  <c r="J1000" i="13"/>
  <c r="I1000" i="13" s="1"/>
  <c r="C1000" i="13"/>
  <c r="D992" i="13"/>
  <c r="J992" i="13"/>
  <c r="I992" i="13" s="1"/>
  <c r="C992" i="13"/>
  <c r="H992" i="13"/>
  <c r="G992" i="13"/>
  <c r="D984" i="13"/>
  <c r="J984" i="13"/>
  <c r="I984" i="13" s="1"/>
  <c r="D976" i="13"/>
  <c r="J976" i="13"/>
  <c r="I976" i="13" s="1"/>
  <c r="H976" i="13"/>
  <c r="D968" i="13"/>
  <c r="J968" i="13"/>
  <c r="I968" i="13" s="1"/>
  <c r="C968" i="13"/>
  <c r="H968" i="13"/>
  <c r="G968" i="13"/>
  <c r="D960" i="13"/>
  <c r="J960" i="13"/>
  <c r="I960" i="13" s="1"/>
  <c r="C960" i="13"/>
  <c r="G960" i="13"/>
  <c r="D952" i="13"/>
  <c r="J952" i="13"/>
  <c r="I952" i="13" s="1"/>
  <c r="D944" i="13"/>
  <c r="J944" i="13"/>
  <c r="I944" i="13" s="1"/>
  <c r="C944" i="13"/>
  <c r="G944" i="13"/>
  <c r="D936" i="13"/>
  <c r="J936" i="13"/>
  <c r="I936" i="13" s="1"/>
  <c r="H936" i="13"/>
  <c r="D928" i="13"/>
  <c r="J928" i="13"/>
  <c r="I928" i="13" s="1"/>
  <c r="H928" i="13"/>
  <c r="D924" i="13"/>
  <c r="J924" i="13"/>
  <c r="I924" i="13" s="1"/>
  <c r="H924" i="13"/>
  <c r="D916" i="13"/>
  <c r="H916" i="13"/>
  <c r="J916" i="13"/>
  <c r="I916" i="13" s="1"/>
  <c r="C916" i="13"/>
  <c r="D904" i="13"/>
  <c r="J904" i="13"/>
  <c r="I904" i="13" s="1"/>
  <c r="C904" i="13"/>
  <c r="H904" i="13"/>
  <c r="D896" i="13"/>
  <c r="J896" i="13"/>
  <c r="I896" i="13" s="1"/>
  <c r="G896" i="13"/>
  <c r="D888" i="13"/>
  <c r="J888" i="13"/>
  <c r="I888" i="13" s="1"/>
  <c r="C888" i="13"/>
  <c r="H888" i="13"/>
  <c r="D880" i="13"/>
  <c r="J880" i="13"/>
  <c r="I880" i="13" s="1"/>
  <c r="H880" i="13"/>
  <c r="C880" i="13"/>
  <c r="D872" i="13"/>
  <c r="J872" i="13"/>
  <c r="I872" i="13" s="1"/>
  <c r="C872" i="13"/>
  <c r="H872" i="13"/>
  <c r="D864" i="13"/>
  <c r="J864" i="13"/>
  <c r="I864" i="13" s="1"/>
  <c r="D860" i="13"/>
  <c r="H860" i="13"/>
  <c r="J860" i="13"/>
  <c r="I860" i="13" s="1"/>
  <c r="D852" i="13"/>
  <c r="J852" i="13"/>
  <c r="I852" i="13" s="1"/>
  <c r="C852" i="13"/>
  <c r="D844" i="13"/>
  <c r="C844" i="13"/>
  <c r="J844" i="13"/>
  <c r="I844" i="13" s="1"/>
  <c r="D836" i="13"/>
  <c r="H836" i="13"/>
  <c r="J836" i="13"/>
  <c r="I836" i="13" s="1"/>
  <c r="D828" i="13"/>
  <c r="J828" i="13"/>
  <c r="I828" i="13" s="1"/>
  <c r="C828" i="13"/>
  <c r="D820" i="13"/>
  <c r="C820" i="13"/>
  <c r="J820" i="13"/>
  <c r="I820" i="13" s="1"/>
  <c r="D812" i="13"/>
  <c r="J812" i="13"/>
  <c r="I812" i="13" s="1"/>
  <c r="H812" i="13"/>
  <c r="D804" i="13"/>
  <c r="G804" i="13"/>
  <c r="J804" i="13"/>
  <c r="I804" i="13" s="1"/>
  <c r="D796" i="13"/>
  <c r="J796" i="13"/>
  <c r="I796" i="13" s="1"/>
  <c r="D788" i="13"/>
  <c r="J788" i="13"/>
  <c r="I788" i="13" s="1"/>
  <c r="H788" i="13"/>
  <c r="D780" i="13"/>
  <c r="J780" i="13"/>
  <c r="I780" i="13" s="1"/>
  <c r="H780" i="13"/>
  <c r="D772" i="13"/>
  <c r="G772" i="13"/>
  <c r="J772" i="13"/>
  <c r="I772" i="13" s="1"/>
  <c r="H772" i="13"/>
  <c r="D764" i="13"/>
  <c r="J764" i="13"/>
  <c r="I764" i="13" s="1"/>
  <c r="C764" i="13"/>
  <c r="H764" i="13"/>
  <c r="D756" i="13"/>
  <c r="G756" i="13"/>
  <c r="C756" i="13"/>
  <c r="J756" i="13"/>
  <c r="I756" i="13" s="1"/>
  <c r="D748" i="13"/>
  <c r="C748" i="13"/>
  <c r="J748" i="13"/>
  <c r="I748" i="13" s="1"/>
  <c r="G748" i="13"/>
  <c r="D740" i="13"/>
  <c r="C740" i="13"/>
  <c r="J740" i="13"/>
  <c r="I740" i="13" s="1"/>
  <c r="H740" i="13"/>
  <c r="D736" i="13"/>
  <c r="J736" i="13"/>
  <c r="I736" i="13" s="1"/>
  <c r="G736" i="13"/>
  <c r="H736" i="13"/>
  <c r="D728" i="13"/>
  <c r="J728" i="13"/>
  <c r="I728" i="13" s="1"/>
  <c r="D720" i="13"/>
  <c r="J720" i="13"/>
  <c r="I720" i="13" s="1"/>
  <c r="C720" i="13"/>
  <c r="G720" i="13"/>
  <c r="D712" i="13"/>
  <c r="J712" i="13"/>
  <c r="I712" i="13" s="1"/>
  <c r="H712" i="13"/>
  <c r="D704" i="13"/>
  <c r="J704" i="13"/>
  <c r="I704" i="13" s="1"/>
  <c r="H704" i="13"/>
  <c r="C704" i="13"/>
  <c r="D696" i="13"/>
  <c r="J696" i="13"/>
  <c r="I696" i="13" s="1"/>
  <c r="D688" i="13"/>
  <c r="J688" i="13"/>
  <c r="I688" i="13" s="1"/>
  <c r="G688" i="13"/>
  <c r="H688" i="13"/>
  <c r="D680" i="13"/>
  <c r="J680" i="13"/>
  <c r="I680" i="13" s="1"/>
  <c r="H680" i="13"/>
  <c r="G680" i="13"/>
  <c r="D672" i="13"/>
  <c r="J672" i="13"/>
  <c r="I672" i="13" s="1"/>
  <c r="C672" i="13"/>
  <c r="D660" i="13"/>
  <c r="J660" i="13"/>
  <c r="I660" i="13" s="1"/>
  <c r="H660" i="13"/>
  <c r="D652" i="13"/>
  <c r="J652" i="13"/>
  <c r="I652" i="13" s="1"/>
  <c r="C652" i="13"/>
  <c r="H652" i="13"/>
  <c r="D648" i="13"/>
  <c r="J648" i="13"/>
  <c r="I648" i="13" s="1"/>
  <c r="G648" i="13"/>
  <c r="D640" i="13"/>
  <c r="J640" i="13"/>
  <c r="I640" i="13" s="1"/>
  <c r="D632" i="13"/>
  <c r="J632" i="13"/>
  <c r="I632" i="13" s="1"/>
  <c r="G632" i="13"/>
  <c r="D624" i="13"/>
  <c r="J624" i="13"/>
  <c r="I624" i="13" s="1"/>
  <c r="C624" i="13"/>
  <c r="D616" i="13"/>
  <c r="J616" i="13"/>
  <c r="I616" i="13" s="1"/>
  <c r="C616" i="13"/>
  <c r="H616" i="13"/>
  <c r="D608" i="13"/>
  <c r="J608" i="13"/>
  <c r="I608" i="13" s="1"/>
  <c r="G608" i="13"/>
  <c r="H608" i="13"/>
  <c r="D600" i="13"/>
  <c r="J600" i="13"/>
  <c r="I600" i="13" s="1"/>
  <c r="G600" i="13"/>
  <c r="D592" i="13"/>
  <c r="J592" i="13"/>
  <c r="I592" i="13" s="1"/>
  <c r="C592" i="13"/>
  <c r="G592" i="13"/>
  <c r="D584" i="13"/>
  <c r="J584" i="13"/>
  <c r="I584" i="13" s="1"/>
  <c r="D576" i="13"/>
  <c r="J576" i="13"/>
  <c r="I576" i="13" s="1"/>
  <c r="C576" i="13"/>
  <c r="G576" i="13"/>
  <c r="D568" i="13"/>
  <c r="J568" i="13"/>
  <c r="I568" i="13" s="1"/>
  <c r="H568" i="13"/>
  <c r="D556" i="13"/>
  <c r="H556" i="13"/>
  <c r="J556" i="13"/>
  <c r="I556" i="13" s="1"/>
  <c r="C556" i="13"/>
  <c r="D548" i="13"/>
  <c r="H548" i="13"/>
  <c r="J548" i="13"/>
  <c r="I548" i="13" s="1"/>
  <c r="G548" i="13"/>
  <c r="D540" i="13"/>
  <c r="J540" i="13"/>
  <c r="I540" i="13" s="1"/>
  <c r="C540" i="13"/>
  <c r="D532" i="13"/>
  <c r="C532" i="13"/>
  <c r="J532" i="13"/>
  <c r="I532" i="13" s="1"/>
  <c r="H532" i="13"/>
  <c r="D524" i="13"/>
  <c r="H524" i="13"/>
  <c r="J524" i="13"/>
  <c r="I524" i="13" s="1"/>
  <c r="C524" i="13"/>
  <c r="D516" i="13"/>
  <c r="H516" i="13"/>
  <c r="J516" i="13"/>
  <c r="I516" i="13" s="1"/>
  <c r="D508" i="13"/>
  <c r="C508" i="13"/>
  <c r="J508" i="13"/>
  <c r="I508" i="13" s="1"/>
  <c r="D500" i="13"/>
  <c r="H500" i="13"/>
  <c r="J500" i="13"/>
  <c r="I500" i="13" s="1"/>
  <c r="D492" i="13"/>
  <c r="G492" i="13"/>
  <c r="J492" i="13"/>
  <c r="I492" i="13" s="1"/>
  <c r="D484" i="13"/>
  <c r="G484" i="13"/>
  <c r="J484" i="13"/>
  <c r="I484" i="13" s="1"/>
  <c r="H484" i="13"/>
  <c r="D480" i="13"/>
  <c r="J480" i="13"/>
  <c r="I480" i="13" s="1"/>
  <c r="H480" i="13"/>
  <c r="D472" i="13"/>
  <c r="J472" i="13"/>
  <c r="I472" i="13" s="1"/>
  <c r="C472" i="13"/>
  <c r="G472" i="13"/>
  <c r="D464" i="13"/>
  <c r="J464" i="13"/>
  <c r="I464" i="13" s="1"/>
  <c r="C464" i="13"/>
  <c r="G464" i="13"/>
  <c r="D456" i="13"/>
  <c r="J456" i="13"/>
  <c r="I456" i="13" s="1"/>
  <c r="C456" i="13"/>
  <c r="G456" i="13"/>
  <c r="D448" i="13"/>
  <c r="J448" i="13"/>
  <c r="I448" i="13" s="1"/>
  <c r="G448" i="13"/>
  <c r="D440" i="13"/>
  <c r="J440" i="13"/>
  <c r="I440" i="13" s="1"/>
  <c r="G440" i="13"/>
  <c r="D432" i="13"/>
  <c r="J432" i="13"/>
  <c r="I432" i="13" s="1"/>
  <c r="H432" i="13"/>
  <c r="D424" i="13"/>
  <c r="J424" i="13"/>
  <c r="I424" i="13" s="1"/>
  <c r="G424" i="13"/>
  <c r="H424" i="13"/>
  <c r="D416" i="13"/>
  <c r="J416" i="13"/>
  <c r="I416" i="13" s="1"/>
  <c r="D408" i="13"/>
  <c r="J408" i="13"/>
  <c r="I408" i="13" s="1"/>
  <c r="D400" i="13"/>
  <c r="J400" i="13"/>
  <c r="I400" i="13" s="1"/>
  <c r="D388" i="13"/>
  <c r="J388" i="13"/>
  <c r="I388" i="13" s="1"/>
  <c r="D380" i="13"/>
  <c r="J380" i="13"/>
  <c r="I380" i="13" s="1"/>
  <c r="D372" i="13"/>
  <c r="J372" i="13"/>
  <c r="I372" i="13" s="1"/>
  <c r="D364" i="13"/>
  <c r="J364" i="13"/>
  <c r="I364" i="13" s="1"/>
  <c r="D356" i="13"/>
  <c r="J356" i="13"/>
  <c r="I356" i="13" s="1"/>
  <c r="D338" i="13"/>
  <c r="E338" i="13"/>
  <c r="F338" i="13"/>
  <c r="C338" i="13"/>
  <c r="J335" i="13"/>
  <c r="I335" i="13" s="1"/>
  <c r="F335" i="13"/>
  <c r="D319" i="13"/>
  <c r="E319" i="13"/>
  <c r="G319" i="13"/>
  <c r="H400" i="13"/>
  <c r="C396" i="13"/>
  <c r="C392" i="13"/>
  <c r="H384" i="13"/>
  <c r="C376" i="13"/>
  <c r="C372" i="13"/>
  <c r="H368" i="13"/>
  <c r="C364" i="13"/>
  <c r="C360" i="13"/>
  <c r="C416" i="13"/>
  <c r="H412" i="13"/>
  <c r="H408" i="13"/>
  <c r="H404" i="13"/>
  <c r="C400" i="13"/>
  <c r="H396" i="13"/>
  <c r="H392" i="13"/>
  <c r="H388" i="13"/>
  <c r="C384" i="13"/>
  <c r="H380" i="13"/>
  <c r="H376" i="13"/>
  <c r="H372" i="13"/>
  <c r="C368" i="13"/>
  <c r="H364" i="13"/>
  <c r="H360" i="13"/>
  <c r="H356" i="13"/>
  <c r="C352" i="13"/>
  <c r="H348" i="13"/>
  <c r="G338" i="13"/>
  <c r="G532" i="13"/>
  <c r="G712" i="13"/>
  <c r="G780" i="13"/>
  <c r="G936" i="13"/>
  <c r="H664" i="13"/>
  <c r="H824" i="13"/>
  <c r="H984" i="13"/>
  <c r="C796" i="13"/>
  <c r="C952" i="13"/>
  <c r="G432" i="13"/>
  <c r="G624" i="13"/>
  <c r="G1060" i="13"/>
  <c r="G644" i="13"/>
  <c r="G796" i="13"/>
  <c r="G728" i="13"/>
  <c r="G460" i="13"/>
  <c r="H584" i="13"/>
  <c r="H672" i="13"/>
  <c r="G540" i="13"/>
  <c r="G752" i="13"/>
  <c r="G844" i="13"/>
  <c r="G948" i="13"/>
  <c r="H1040" i="13"/>
  <c r="C1012" i="13"/>
  <c r="G976" i="13"/>
  <c r="G784" i="13"/>
  <c r="H940" i="13"/>
  <c r="H1032" i="13"/>
  <c r="C432" i="13"/>
  <c r="C448" i="13"/>
  <c r="C460" i="13"/>
  <c r="C476" i="13"/>
  <c r="H488" i="13"/>
  <c r="G504" i="13"/>
  <c r="H528" i="13"/>
  <c r="H552" i="13"/>
  <c r="G572" i="13"/>
  <c r="H612" i="13"/>
  <c r="H636" i="13"/>
  <c r="G660" i="13"/>
  <c r="C680" i="13"/>
  <c r="C700" i="13"/>
  <c r="H720" i="13"/>
  <c r="H748" i="13"/>
  <c r="C776" i="13"/>
  <c r="C792" i="13"/>
  <c r="H828" i="13"/>
  <c r="H840" i="13"/>
  <c r="G876" i="13"/>
  <c r="C928" i="13"/>
  <c r="H988" i="13"/>
  <c r="H1036" i="13"/>
  <c r="C1060" i="13"/>
  <c r="C736" i="13"/>
  <c r="H964" i="13"/>
  <c r="G476" i="13"/>
  <c r="C584" i="13"/>
  <c r="C864" i="13"/>
  <c r="H504" i="13"/>
  <c r="C440" i="13"/>
  <c r="C812" i="13"/>
  <c r="C628" i="13"/>
  <c r="C896" i="13"/>
  <c r="H724" i="13"/>
  <c r="H752" i="13"/>
  <c r="J322" i="13"/>
  <c r="I322" i="13" s="1"/>
  <c r="G916" i="13"/>
  <c r="G1032" i="13"/>
  <c r="G852" i="13"/>
  <c r="G1056" i="13"/>
  <c r="C980" i="13"/>
  <c r="G864" i="13"/>
  <c r="G964" i="13"/>
  <c r="H956" i="13"/>
  <c r="G828" i="13"/>
  <c r="C1056" i="13"/>
  <c r="C420" i="13"/>
  <c r="C436" i="13"/>
  <c r="H448" i="13"/>
  <c r="H464" i="13"/>
  <c r="C480" i="13"/>
  <c r="C492" i="13"/>
  <c r="H508" i="13"/>
  <c r="H540" i="13"/>
  <c r="G556" i="13"/>
  <c r="H592" i="13"/>
  <c r="G616" i="13"/>
  <c r="H648" i="13"/>
  <c r="H668" i="13"/>
  <c r="H684" i="13"/>
  <c r="G704" i="13"/>
  <c r="C724" i="13"/>
  <c r="H756" i="13"/>
  <c r="C780" i="13"/>
  <c r="H804" i="13"/>
  <c r="C832" i="13"/>
  <c r="H844" i="13"/>
  <c r="G884" i="13"/>
  <c r="C936" i="13"/>
  <c r="H996" i="13"/>
  <c r="H1052" i="13"/>
  <c r="G552" i="13"/>
  <c r="G760" i="13"/>
  <c r="C1040" i="13"/>
  <c r="H716" i="13"/>
  <c r="C608" i="13"/>
  <c r="C892" i="13"/>
  <c r="C804" i="13"/>
  <c r="C564" i="13"/>
  <c r="C572" i="13"/>
  <c r="C648" i="13"/>
  <c r="C912" i="13"/>
  <c r="G508" i="13"/>
  <c r="C600" i="13"/>
  <c r="D1054" i="13"/>
  <c r="J1054" i="13"/>
  <c r="I1054" i="13" s="1"/>
  <c r="D1046" i="13"/>
  <c r="J1046" i="13"/>
  <c r="I1046" i="13" s="1"/>
  <c r="D1038" i="13"/>
  <c r="J1038" i="13"/>
  <c r="I1038" i="13" s="1"/>
  <c r="D1030" i="13"/>
  <c r="J1030" i="13"/>
  <c r="I1030" i="13" s="1"/>
  <c r="D1022" i="13"/>
  <c r="J1022" i="13"/>
  <c r="I1022" i="13" s="1"/>
  <c r="D1014" i="13"/>
  <c r="J1014" i="13"/>
  <c r="I1014" i="13" s="1"/>
  <c r="D1006" i="13"/>
  <c r="J1006" i="13"/>
  <c r="I1006" i="13" s="1"/>
  <c r="D998" i="13"/>
  <c r="J998" i="13"/>
  <c r="I998" i="13" s="1"/>
  <c r="D990" i="13"/>
  <c r="J990" i="13"/>
  <c r="I990" i="13" s="1"/>
  <c r="B21" i="13"/>
  <c r="K401" i="13"/>
  <c r="B119" i="13"/>
  <c r="H119" i="13" s="1"/>
  <c r="B120" i="13"/>
  <c r="J120" i="13" s="1"/>
  <c r="I120" i="13" s="1"/>
  <c r="B121" i="13"/>
  <c r="B122" i="13"/>
  <c r="D122" i="13" s="1"/>
  <c r="B123" i="13"/>
  <c r="H123" i="13" s="1"/>
  <c r="B124" i="13"/>
  <c r="C124" i="13" s="1"/>
  <c r="B125" i="13"/>
  <c r="G125" i="13" s="1"/>
  <c r="B126" i="13"/>
  <c r="H126" i="13" s="1"/>
  <c r="B127" i="13"/>
  <c r="C127" i="13" s="1"/>
  <c r="B128" i="13"/>
  <c r="H128" i="13" s="1"/>
  <c r="B129" i="13"/>
  <c r="H129" i="13" s="1"/>
  <c r="B130" i="13"/>
  <c r="D130" i="13" s="1"/>
  <c r="B131" i="13"/>
  <c r="B132" i="13"/>
  <c r="F132" i="13" s="1"/>
  <c r="B133" i="13"/>
  <c r="D133" i="13" s="1"/>
  <c r="B134" i="13"/>
  <c r="E134" i="13" s="1"/>
  <c r="B135" i="13"/>
  <c r="G135" i="13" s="1"/>
  <c r="B136" i="13"/>
  <c r="H136" i="13" s="1"/>
  <c r="B137" i="13"/>
  <c r="E137" i="13" s="1"/>
  <c r="B138" i="13"/>
  <c r="C138" i="13" s="1"/>
  <c r="B139" i="13"/>
  <c r="G139" i="13" s="1"/>
  <c r="B140" i="13"/>
  <c r="C140" i="13" s="1"/>
  <c r="B141" i="13"/>
  <c r="E141" i="13" s="1"/>
  <c r="B142" i="13"/>
  <c r="D142" i="13" s="1"/>
  <c r="B143" i="13"/>
  <c r="B144" i="13"/>
  <c r="D144" i="13" s="1"/>
  <c r="B145" i="13"/>
  <c r="G145" i="13" s="1"/>
  <c r="B146" i="13"/>
  <c r="H146" i="13" s="1"/>
  <c r="B147" i="13"/>
  <c r="D147" i="13" s="1"/>
  <c r="B148" i="13"/>
  <c r="E148" i="13" s="1"/>
  <c r="B149" i="13"/>
  <c r="D149" i="13" s="1"/>
  <c r="B150" i="13"/>
  <c r="G150" i="13" s="1"/>
  <c r="B151" i="13"/>
  <c r="H151" i="13" s="1"/>
  <c r="B152" i="13"/>
  <c r="G152" i="13" s="1"/>
  <c r="B153" i="13"/>
  <c r="J153" i="13" s="1"/>
  <c r="I153" i="13" s="1"/>
  <c r="B154" i="13"/>
  <c r="C154" i="13" s="1"/>
  <c r="B155" i="13"/>
  <c r="G155" i="13" s="1"/>
  <c r="B156" i="13"/>
  <c r="G156" i="13" s="1"/>
  <c r="B157" i="13"/>
  <c r="D157" i="13" s="1"/>
  <c r="B158" i="13"/>
  <c r="G158" i="13" s="1"/>
  <c r="B159" i="13"/>
  <c r="H159" i="13" s="1"/>
  <c r="B160" i="13"/>
  <c r="J160" i="13" s="1"/>
  <c r="I160" i="13" s="1"/>
  <c r="B161" i="13"/>
  <c r="H161" i="13" s="1"/>
  <c r="B162" i="13"/>
  <c r="B163" i="13"/>
  <c r="E163" i="13" s="1"/>
  <c r="B164" i="13"/>
  <c r="F164" i="13" s="1"/>
  <c r="B165" i="13"/>
  <c r="E165" i="13" s="1"/>
  <c r="B166" i="13"/>
  <c r="F166" i="13" s="1"/>
  <c r="B167" i="13"/>
  <c r="D167" i="13" s="1"/>
  <c r="B168" i="13"/>
  <c r="E168" i="13" s="1"/>
  <c r="B169" i="13"/>
  <c r="F169" i="13" s="1"/>
  <c r="B170" i="13"/>
  <c r="B171" i="13"/>
  <c r="F171" i="13" s="1"/>
  <c r="B172" i="13"/>
  <c r="E172" i="13" s="1"/>
  <c r="B173" i="13"/>
  <c r="J173" i="13" s="1"/>
  <c r="I173" i="13" s="1"/>
  <c r="B174" i="13"/>
  <c r="D174" i="13" s="1"/>
  <c r="B175" i="13"/>
  <c r="G175" i="13" s="1"/>
  <c r="B176" i="13"/>
  <c r="B177" i="13"/>
  <c r="D177" i="13" s="1"/>
  <c r="B178" i="13"/>
  <c r="B179" i="13"/>
  <c r="D179" i="13" s="1"/>
  <c r="B180" i="13"/>
  <c r="D180" i="13" s="1"/>
  <c r="B181" i="13"/>
  <c r="J181" i="13" s="1"/>
  <c r="I181" i="13" s="1"/>
  <c r="B182" i="13"/>
  <c r="J182" i="13" s="1"/>
  <c r="I182" i="13" s="1"/>
  <c r="B183" i="13"/>
  <c r="C183" i="13" s="1"/>
  <c r="B184" i="13"/>
  <c r="C184" i="13" s="1"/>
  <c r="B185" i="13"/>
  <c r="E185" i="13" s="1"/>
  <c r="B186" i="13"/>
  <c r="F186" i="13" s="1"/>
  <c r="B187" i="13"/>
  <c r="B188" i="13"/>
  <c r="F188" i="13" s="1"/>
  <c r="B189" i="13"/>
  <c r="C189" i="13" s="1"/>
  <c r="B190" i="13"/>
  <c r="J190" i="13" s="1"/>
  <c r="I190" i="13" s="1"/>
  <c r="B191" i="13"/>
  <c r="E191" i="13" s="1"/>
  <c r="B192" i="13"/>
  <c r="E192" i="13" s="1"/>
  <c r="B193" i="13"/>
  <c r="G193" i="13" s="1"/>
  <c r="B194" i="13"/>
  <c r="G194" i="13" s="1"/>
  <c r="B195" i="13"/>
  <c r="C195" i="13" s="1"/>
  <c r="B196" i="13"/>
  <c r="J196" i="13" s="1"/>
  <c r="I196" i="13" s="1"/>
  <c r="B197" i="13"/>
  <c r="C197" i="13" s="1"/>
  <c r="B198" i="13"/>
  <c r="F198" i="13" s="1"/>
  <c r="B199" i="13"/>
  <c r="E199" i="13" s="1"/>
  <c r="B200" i="13"/>
  <c r="B201" i="13"/>
  <c r="E201" i="13" s="1"/>
  <c r="B202" i="13"/>
  <c r="H202" i="13" s="1"/>
  <c r="B203" i="13"/>
  <c r="D203" i="13" s="1"/>
  <c r="B204" i="13"/>
  <c r="J204" i="13" s="1"/>
  <c r="I204" i="13" s="1"/>
  <c r="B205" i="13"/>
  <c r="J205" i="13" s="1"/>
  <c r="I205" i="13" s="1"/>
  <c r="B206" i="13"/>
  <c r="F206" i="13" s="1"/>
  <c r="B207" i="13"/>
  <c r="F207" i="13" s="1"/>
  <c r="B208" i="13"/>
  <c r="G208" i="13" s="1"/>
  <c r="B209" i="13"/>
  <c r="J209" i="13" s="1"/>
  <c r="I209" i="13" s="1"/>
  <c r="B210" i="13"/>
  <c r="F210" i="13" s="1"/>
  <c r="B211" i="13"/>
  <c r="E211" i="13" s="1"/>
  <c r="B212" i="13"/>
  <c r="D212" i="13" s="1"/>
  <c r="B213" i="13"/>
  <c r="B214" i="13"/>
  <c r="E214" i="13" s="1"/>
  <c r="B215" i="13"/>
  <c r="F215" i="13" s="1"/>
  <c r="B216" i="13"/>
  <c r="E216" i="13" s="1"/>
  <c r="B217" i="13"/>
  <c r="H217" i="13" s="1"/>
  <c r="B218" i="13"/>
  <c r="E218" i="13" s="1"/>
  <c r="B219" i="13"/>
  <c r="H219" i="13" s="1"/>
  <c r="B220" i="13"/>
  <c r="J220" i="13" s="1"/>
  <c r="I220" i="13" s="1"/>
  <c r="B221" i="13"/>
  <c r="H221" i="13" s="1"/>
  <c r="B222" i="13"/>
  <c r="F222" i="13" s="1"/>
  <c r="B223" i="13"/>
  <c r="H223" i="13" s="1"/>
  <c r="B224" i="13"/>
  <c r="C224" i="13" s="1"/>
  <c r="B225" i="13"/>
  <c r="C225" i="13" s="1"/>
  <c r="B226" i="13"/>
  <c r="H226" i="13" s="1"/>
  <c r="B227" i="13"/>
  <c r="C227" i="13" s="1"/>
  <c r="B228" i="13"/>
  <c r="J228" i="13" s="1"/>
  <c r="I228" i="13" s="1"/>
  <c r="B229" i="13"/>
  <c r="D229" i="13" s="1"/>
  <c r="B230" i="13"/>
  <c r="E230" i="13" s="1"/>
  <c r="B231" i="13"/>
  <c r="B232" i="13"/>
  <c r="G232" i="13" s="1"/>
  <c r="B233" i="13"/>
  <c r="H233" i="13" s="1"/>
  <c r="B234" i="13"/>
  <c r="H234" i="13" s="1"/>
  <c r="B235" i="13"/>
  <c r="C235" i="13" s="1"/>
  <c r="B236" i="13"/>
  <c r="F236" i="13" s="1"/>
  <c r="B237" i="13"/>
  <c r="J237" i="13" s="1"/>
  <c r="I237" i="13" s="1"/>
  <c r="B238" i="13"/>
  <c r="H238" i="13" s="1"/>
  <c r="B239" i="13"/>
  <c r="F239" i="13" s="1"/>
  <c r="B240" i="13"/>
  <c r="C240" i="13" s="1"/>
  <c r="B241" i="13"/>
  <c r="C241" i="13" s="1"/>
  <c r="B242" i="13"/>
  <c r="D242" i="13" s="1"/>
  <c r="B243" i="13"/>
  <c r="J243" i="13" s="1"/>
  <c r="I243" i="13" s="1"/>
  <c r="B244" i="13"/>
  <c r="H244" i="13" s="1"/>
  <c r="B245" i="13"/>
  <c r="F245" i="13" s="1"/>
  <c r="B246" i="13"/>
  <c r="H246" i="13" s="1"/>
  <c r="B247" i="13"/>
  <c r="D247" i="13" s="1"/>
  <c r="B248" i="13"/>
  <c r="C248" i="13" s="1"/>
  <c r="B249" i="13"/>
  <c r="D249" i="13" s="1"/>
  <c r="B250" i="13"/>
  <c r="F250" i="13" s="1"/>
  <c r="B251" i="13"/>
  <c r="J251" i="13" s="1"/>
  <c r="I251" i="13" s="1"/>
  <c r="B252" i="13"/>
  <c r="H252" i="13" s="1"/>
  <c r="B253" i="13"/>
  <c r="C253" i="13" s="1"/>
  <c r="B254" i="13"/>
  <c r="H254" i="13" s="1"/>
  <c r="B255" i="13"/>
  <c r="J255" i="13" s="1"/>
  <c r="I255" i="13" s="1"/>
  <c r="B256" i="13"/>
  <c r="F256" i="13" s="1"/>
  <c r="B257" i="13"/>
  <c r="H257" i="13" s="1"/>
  <c r="B258" i="13"/>
  <c r="F258" i="13" s="1"/>
  <c r="B259" i="13"/>
  <c r="C259" i="13" s="1"/>
  <c r="B260" i="13"/>
  <c r="F260" i="13" s="1"/>
  <c r="B261" i="13"/>
  <c r="E261" i="13" s="1"/>
  <c r="B262" i="13"/>
  <c r="H262" i="13" s="1"/>
  <c r="B263" i="13"/>
  <c r="D263" i="13" s="1"/>
  <c r="B264" i="13"/>
  <c r="B265" i="13"/>
  <c r="F265" i="13" s="1"/>
  <c r="B266" i="13"/>
  <c r="D266" i="13" s="1"/>
  <c r="B267" i="13"/>
  <c r="H267" i="13" s="1"/>
  <c r="B268" i="13"/>
  <c r="J268" i="13" s="1"/>
  <c r="I268" i="13" s="1"/>
  <c r="B269" i="13"/>
  <c r="D269" i="13" s="1"/>
  <c r="B270" i="13"/>
  <c r="J270" i="13" s="1"/>
  <c r="I270" i="13" s="1"/>
  <c r="B271" i="13"/>
  <c r="J271" i="13" s="1"/>
  <c r="I271" i="13" s="1"/>
  <c r="B272" i="13"/>
  <c r="E272" i="13" s="1"/>
  <c r="B273" i="13"/>
  <c r="E273" i="13" s="1"/>
  <c r="B274" i="13"/>
  <c r="H274" i="13" s="1"/>
  <c r="B275" i="13"/>
  <c r="H275" i="13" s="1"/>
  <c r="B276" i="13"/>
  <c r="C276" i="13" s="1"/>
  <c r="B277" i="13"/>
  <c r="E277" i="13" s="1"/>
  <c r="B278" i="13"/>
  <c r="J278" i="13" s="1"/>
  <c r="I278" i="13" s="1"/>
  <c r="B279" i="13"/>
  <c r="F279" i="13" s="1"/>
  <c r="B280" i="13"/>
  <c r="C280" i="13" s="1"/>
  <c r="B281" i="13"/>
  <c r="B282" i="13"/>
  <c r="B283" i="13"/>
  <c r="J283" i="13" s="1"/>
  <c r="I283" i="13" s="1"/>
  <c r="B284" i="13"/>
  <c r="C284" i="13" s="1"/>
  <c r="B285" i="13"/>
  <c r="H285" i="13" s="1"/>
  <c r="B286" i="13"/>
  <c r="E286" i="13" s="1"/>
  <c r="B287" i="13"/>
  <c r="C287" i="13" s="1"/>
  <c r="B288" i="13"/>
  <c r="J288" i="13" s="1"/>
  <c r="I288" i="13" s="1"/>
  <c r="B289" i="13"/>
  <c r="F289" i="13" s="1"/>
  <c r="B290" i="13"/>
  <c r="H290" i="13" s="1"/>
  <c r="B291" i="13"/>
  <c r="H291" i="13" s="1"/>
  <c r="B292" i="13"/>
  <c r="E292" i="13" s="1"/>
  <c r="B293" i="13"/>
  <c r="C293" i="13" s="1"/>
  <c r="B294" i="13"/>
  <c r="F294" i="13" s="1"/>
  <c r="B295" i="13"/>
  <c r="B296" i="13"/>
  <c r="H296" i="13" s="1"/>
  <c r="B297" i="13"/>
  <c r="F297" i="13" s="1"/>
  <c r="B298" i="13"/>
  <c r="H298" i="13" s="1"/>
  <c r="B299" i="13"/>
  <c r="G299" i="13" s="1"/>
  <c r="B300" i="13"/>
  <c r="E300" i="13" s="1"/>
  <c r="B301" i="13"/>
  <c r="F301" i="13" s="1"/>
  <c r="B302" i="13"/>
  <c r="C302" i="13" s="1"/>
  <c r="B303" i="13"/>
  <c r="D303" i="13" s="1"/>
  <c r="B304" i="13"/>
  <c r="J304" i="13" s="1"/>
  <c r="I304" i="13" s="1"/>
  <c r="B305" i="13"/>
  <c r="D305" i="13" s="1"/>
  <c r="B306" i="13"/>
  <c r="G306" i="13" s="1"/>
  <c r="B307" i="13"/>
  <c r="H307" i="13" s="1"/>
  <c r="B308" i="13"/>
  <c r="F308" i="13" s="1"/>
  <c r="B309" i="13"/>
  <c r="H309" i="13" s="1"/>
  <c r="B310" i="13"/>
  <c r="H310" i="13" s="1"/>
  <c r="B311" i="13"/>
  <c r="B312" i="13"/>
  <c r="D312" i="13" s="1"/>
  <c r="B313" i="13"/>
  <c r="D313" i="13" s="1"/>
  <c r="B314" i="13"/>
  <c r="G314" i="13" s="1"/>
  <c r="B315" i="13"/>
  <c r="F315" i="13" s="1"/>
  <c r="B316" i="13"/>
  <c r="H316" i="13" s="1"/>
  <c r="B317" i="13"/>
  <c r="E317" i="13" s="1"/>
  <c r="B318" i="13"/>
  <c r="F318" i="13" s="1"/>
  <c r="K474" i="13" l="1"/>
  <c r="E506" i="13"/>
  <c r="E514" i="13"/>
  <c r="G522" i="13"/>
  <c r="F530" i="13"/>
  <c r="H538" i="13"/>
  <c r="D562" i="13"/>
  <c r="D570" i="13"/>
  <c r="J578" i="13"/>
  <c r="I578" i="13" s="1"/>
  <c r="F586" i="13"/>
  <c r="C594" i="13"/>
  <c r="D650" i="13"/>
  <c r="D666" i="13"/>
  <c r="C682" i="13"/>
  <c r="F698" i="13"/>
  <c r="C714" i="13"/>
  <c r="G754" i="13"/>
  <c r="F786" i="13"/>
  <c r="D874" i="13"/>
  <c r="F914" i="13"/>
  <c r="C938" i="13"/>
  <c r="G946" i="13"/>
  <c r="H554" i="13"/>
  <c r="E346" i="13"/>
  <c r="C402" i="13"/>
  <c r="F474" i="13"/>
  <c r="H402" i="13"/>
  <c r="H330" i="13"/>
  <c r="E602" i="13"/>
  <c r="F610" i="13"/>
  <c r="G626" i="13"/>
  <c r="C634" i="13"/>
  <c r="H642" i="13"/>
  <c r="H738" i="13"/>
  <c r="F842" i="13"/>
  <c r="G938" i="13"/>
  <c r="D946" i="13"/>
  <c r="G618" i="13"/>
  <c r="G658" i="13"/>
  <c r="H490" i="13"/>
  <c r="F954" i="13"/>
  <c r="F986" i="13"/>
  <c r="H506" i="13"/>
  <c r="D538" i="13"/>
  <c r="H546" i="13"/>
  <c r="J554" i="13"/>
  <c r="I554" i="13" s="1"/>
  <c r="G562" i="13"/>
  <c r="G570" i="13"/>
  <c r="J594" i="13"/>
  <c r="I594" i="13" s="1"/>
  <c r="D602" i="13"/>
  <c r="J610" i="13"/>
  <c r="I610" i="13" s="1"/>
  <c r="D618" i="13"/>
  <c r="C626" i="13"/>
  <c r="H634" i="13"/>
  <c r="C850" i="13"/>
  <c r="H930" i="13"/>
  <c r="F962" i="13"/>
  <c r="H338" i="13"/>
  <c r="G474" i="13"/>
  <c r="G578" i="13"/>
  <c r="K633" i="13"/>
  <c r="F1034" i="13"/>
  <c r="H1034" i="13"/>
  <c r="D594" i="13"/>
  <c r="E610" i="13"/>
  <c r="E626" i="13"/>
  <c r="F634" i="13"/>
  <c r="G730" i="13"/>
  <c r="F818" i="13"/>
  <c r="G834" i="13"/>
  <c r="F850" i="13"/>
  <c r="C890" i="13"/>
  <c r="D930" i="13"/>
  <c r="F970" i="13"/>
  <c r="C1058" i="13"/>
  <c r="G506" i="13"/>
  <c r="H530" i="13"/>
  <c r="D546" i="13"/>
  <c r="D554" i="13"/>
  <c r="E562" i="13"/>
  <c r="H570" i="13"/>
  <c r="J586" i="13"/>
  <c r="I586" i="13" s="1"/>
  <c r="D626" i="13"/>
  <c r="C650" i="13"/>
  <c r="G978" i="13"/>
  <c r="G370" i="13"/>
  <c r="G442" i="13"/>
  <c r="K573" i="13"/>
  <c r="H1026" i="13"/>
  <c r="C530" i="13"/>
  <c r="J562" i="13"/>
  <c r="I562" i="13" s="1"/>
  <c r="E570" i="13"/>
  <c r="C578" i="13"/>
  <c r="C394" i="13"/>
  <c r="G386" i="13"/>
  <c r="G394" i="13"/>
  <c r="H418" i="13"/>
  <c r="E1014" i="13"/>
  <c r="F1030" i="13"/>
  <c r="E1043" i="13"/>
  <c r="F1043" i="13"/>
  <c r="H1039" i="13"/>
  <c r="C1039" i="13"/>
  <c r="C1023" i="13"/>
  <c r="D1023" i="13"/>
  <c r="C1015" i="13"/>
  <c r="F1015" i="13"/>
  <c r="J1015" i="13"/>
  <c r="I1015" i="13" s="1"/>
  <c r="H1003" i="13"/>
  <c r="D1003" i="13"/>
  <c r="F987" i="13"/>
  <c r="D987" i="13"/>
  <c r="G983" i="13"/>
  <c r="H983" i="13"/>
  <c r="G963" i="13"/>
  <c r="D963" i="13"/>
  <c r="E963" i="13"/>
  <c r="H963" i="13"/>
  <c r="C963" i="13"/>
  <c r="J963" i="13"/>
  <c r="I963" i="13" s="1"/>
  <c r="K963" i="13" s="1"/>
  <c r="G951" i="13"/>
  <c r="H951" i="13"/>
  <c r="G943" i="13"/>
  <c r="H943" i="13"/>
  <c r="D943" i="13"/>
  <c r="E943" i="13"/>
  <c r="F943" i="13"/>
  <c r="G935" i="13"/>
  <c r="D935" i="13"/>
  <c r="F935" i="13"/>
  <c r="E935" i="13"/>
  <c r="H935" i="13"/>
  <c r="J935" i="13"/>
  <c r="I935" i="13" s="1"/>
  <c r="K934" i="13" s="1"/>
  <c r="H931" i="13"/>
  <c r="F931" i="13"/>
  <c r="C931" i="13"/>
  <c r="C927" i="13"/>
  <c r="H927" i="13"/>
  <c r="F927" i="13"/>
  <c r="E927" i="13"/>
  <c r="D927" i="13"/>
  <c r="F915" i="13"/>
  <c r="D915" i="13"/>
  <c r="H915" i="13"/>
  <c r="E915" i="13"/>
  <c r="G911" i="13"/>
  <c r="D911" i="13"/>
  <c r="F911" i="13"/>
  <c r="E911" i="13"/>
  <c r="C911" i="13"/>
  <c r="H911" i="13"/>
  <c r="C907" i="13"/>
  <c r="E907" i="13"/>
  <c r="H907" i="13"/>
  <c r="F907" i="13"/>
  <c r="J907" i="13"/>
  <c r="I907" i="13" s="1"/>
  <c r="D907" i="13"/>
  <c r="G907" i="13"/>
  <c r="C903" i="13"/>
  <c r="F903" i="13"/>
  <c r="E903" i="13"/>
  <c r="H903" i="13"/>
  <c r="G899" i="13"/>
  <c r="F899" i="13"/>
  <c r="E899" i="13"/>
  <c r="C891" i="13"/>
  <c r="E891" i="13"/>
  <c r="D891" i="13"/>
  <c r="H891" i="13"/>
  <c r="F891" i="13"/>
  <c r="G891" i="13"/>
  <c r="J891" i="13"/>
  <c r="I891" i="13" s="1"/>
  <c r="E887" i="13"/>
  <c r="D887" i="13"/>
  <c r="G887" i="13"/>
  <c r="F887" i="13"/>
  <c r="C887" i="13"/>
  <c r="G883" i="13"/>
  <c r="D883" i="13"/>
  <c r="F883" i="13"/>
  <c r="H883" i="13"/>
  <c r="J883" i="13"/>
  <c r="I883" i="13" s="1"/>
  <c r="E883" i="13"/>
  <c r="D879" i="13"/>
  <c r="E879" i="13"/>
  <c r="F879" i="13"/>
  <c r="C879" i="13"/>
  <c r="G879" i="13"/>
  <c r="G875" i="13"/>
  <c r="F875" i="13"/>
  <c r="G871" i="13"/>
  <c r="D871" i="13"/>
  <c r="F871" i="13"/>
  <c r="E871" i="13"/>
  <c r="G863" i="13"/>
  <c r="D863" i="13"/>
  <c r="E863" i="13"/>
  <c r="F863" i="13"/>
  <c r="J863" i="13"/>
  <c r="I863" i="13" s="1"/>
  <c r="K862" i="13" s="1"/>
  <c r="C859" i="13"/>
  <c r="G859" i="13"/>
  <c r="E859" i="13"/>
  <c r="D859" i="13"/>
  <c r="F859" i="13"/>
  <c r="C855" i="13"/>
  <c r="F855" i="13"/>
  <c r="H855" i="13"/>
  <c r="D855" i="13"/>
  <c r="E855" i="13"/>
  <c r="H851" i="13"/>
  <c r="F851" i="13"/>
  <c r="D851" i="13"/>
  <c r="C847" i="13"/>
  <c r="F847" i="13"/>
  <c r="D847" i="13"/>
  <c r="E847" i="13"/>
  <c r="G847" i="13"/>
  <c r="G843" i="13"/>
  <c r="D843" i="13"/>
  <c r="E843" i="13"/>
  <c r="F843" i="13"/>
  <c r="J843" i="13"/>
  <c r="I843" i="13" s="1"/>
  <c r="G839" i="13"/>
  <c r="D839" i="13"/>
  <c r="E839" i="13"/>
  <c r="F839" i="13"/>
  <c r="H839" i="13"/>
  <c r="F835" i="13"/>
  <c r="E835" i="13"/>
  <c r="G831" i="13"/>
  <c r="D831" i="13"/>
  <c r="E831" i="13"/>
  <c r="F831" i="13"/>
  <c r="J831" i="13"/>
  <c r="I831" i="13" s="1"/>
  <c r="G827" i="13"/>
  <c r="D827" i="13"/>
  <c r="E827" i="13"/>
  <c r="J827" i="13"/>
  <c r="I827" i="13" s="1"/>
  <c r="F827" i="13"/>
  <c r="E823" i="13"/>
  <c r="D823" i="13"/>
  <c r="F823" i="13"/>
  <c r="C819" i="13"/>
  <c r="F819" i="13"/>
  <c r="D819" i="13"/>
  <c r="E819" i="13"/>
  <c r="G815" i="13"/>
  <c r="E815" i="13"/>
  <c r="D815" i="13"/>
  <c r="H815" i="13"/>
  <c r="C815" i="13"/>
  <c r="F815" i="13"/>
  <c r="H811" i="13"/>
  <c r="D811" i="13"/>
  <c r="E811" i="13"/>
  <c r="F811" i="13"/>
  <c r="F807" i="13"/>
  <c r="D807" i="13"/>
  <c r="E807" i="13"/>
  <c r="C803" i="13"/>
  <c r="F803" i="13"/>
  <c r="G803" i="13"/>
  <c r="D803" i="13"/>
  <c r="G799" i="13"/>
  <c r="E799" i="13"/>
  <c r="F799" i="13"/>
  <c r="D799" i="13"/>
  <c r="J799" i="13"/>
  <c r="I799" i="13" s="1"/>
  <c r="G795" i="13"/>
  <c r="H795" i="13"/>
  <c r="E795" i="13"/>
  <c r="C791" i="13"/>
  <c r="D791" i="13"/>
  <c r="E791" i="13"/>
  <c r="J791" i="13"/>
  <c r="I791" i="13" s="1"/>
  <c r="F791" i="13"/>
  <c r="C787" i="13"/>
  <c r="E787" i="13"/>
  <c r="G783" i="13"/>
  <c r="D783" i="13"/>
  <c r="C783" i="13"/>
  <c r="J783" i="13"/>
  <c r="I783" i="13" s="1"/>
  <c r="H783" i="13"/>
  <c r="E783" i="13"/>
  <c r="C779" i="13"/>
  <c r="D779" i="13"/>
  <c r="E779" i="13"/>
  <c r="J779" i="13"/>
  <c r="I779" i="13" s="1"/>
  <c r="K778" i="13" s="1"/>
  <c r="F779" i="13"/>
  <c r="C775" i="13"/>
  <c r="D775" i="13"/>
  <c r="G775" i="13"/>
  <c r="F775" i="13"/>
  <c r="E775" i="13"/>
  <c r="G771" i="13"/>
  <c r="D771" i="13"/>
  <c r="F771" i="13"/>
  <c r="H763" i="13"/>
  <c r="J763" i="13"/>
  <c r="I763" i="13" s="1"/>
  <c r="F763" i="13"/>
  <c r="E763" i="13"/>
  <c r="D763" i="13"/>
  <c r="G755" i="13"/>
  <c r="F755" i="13"/>
  <c r="J755" i="13"/>
  <c r="I755" i="13" s="1"/>
  <c r="K754" i="13" s="1"/>
  <c r="D755" i="13"/>
  <c r="C751" i="13"/>
  <c r="G751" i="13"/>
  <c r="F751" i="13"/>
  <c r="J751" i="13"/>
  <c r="I751" i="13" s="1"/>
  <c r="D751" i="13"/>
  <c r="E751" i="13"/>
  <c r="H747" i="13"/>
  <c r="C747" i="13"/>
  <c r="J747" i="13"/>
  <c r="I747" i="13" s="1"/>
  <c r="E747" i="13"/>
  <c r="H743" i="13"/>
  <c r="G743" i="13"/>
  <c r="E743" i="13"/>
  <c r="F743" i="13"/>
  <c r="E739" i="13"/>
  <c r="J739" i="13"/>
  <c r="I739" i="13" s="1"/>
  <c r="H739" i="13"/>
  <c r="D739" i="13"/>
  <c r="G735" i="13"/>
  <c r="E735" i="13"/>
  <c r="F735" i="13"/>
  <c r="J735" i="13"/>
  <c r="I735" i="13" s="1"/>
  <c r="K734" i="13" s="1"/>
  <c r="C731" i="13"/>
  <c r="D731" i="13"/>
  <c r="E731" i="13"/>
  <c r="J731" i="13"/>
  <c r="I731" i="13" s="1"/>
  <c r="F731" i="13"/>
  <c r="H727" i="13"/>
  <c r="D727" i="13"/>
  <c r="J727" i="13"/>
  <c r="I727" i="13" s="1"/>
  <c r="K726" i="13" s="1"/>
  <c r="F727" i="13"/>
  <c r="G727" i="13"/>
  <c r="H723" i="13"/>
  <c r="D723" i="13"/>
  <c r="F723" i="13"/>
  <c r="E723" i="13"/>
  <c r="H719" i="13"/>
  <c r="C719" i="13"/>
  <c r="F719" i="13"/>
  <c r="E719" i="13"/>
  <c r="C715" i="13"/>
  <c r="F715" i="13"/>
  <c r="E715" i="13"/>
  <c r="G711" i="13"/>
  <c r="C711" i="13"/>
  <c r="E711" i="13"/>
  <c r="F711" i="13"/>
  <c r="G707" i="13"/>
  <c r="E707" i="13"/>
  <c r="F707" i="13"/>
  <c r="C707" i="13"/>
  <c r="D707" i="13"/>
  <c r="C703" i="13"/>
  <c r="D703" i="13"/>
  <c r="E703" i="13"/>
  <c r="F703" i="13"/>
  <c r="H699" i="13"/>
  <c r="J699" i="13"/>
  <c r="I699" i="13" s="1"/>
  <c r="E699" i="13"/>
  <c r="F699" i="13"/>
  <c r="D699" i="13"/>
  <c r="H695" i="13"/>
  <c r="E695" i="13"/>
  <c r="J695" i="13"/>
  <c r="I695" i="13" s="1"/>
  <c r="D695" i="13"/>
  <c r="F695" i="13"/>
  <c r="C695" i="13"/>
  <c r="H691" i="13"/>
  <c r="E691" i="13"/>
  <c r="C691" i="13"/>
  <c r="D687" i="13"/>
  <c r="E687" i="13"/>
  <c r="F687" i="13"/>
  <c r="J687" i="13"/>
  <c r="I687" i="13" s="1"/>
  <c r="H683" i="13"/>
  <c r="C683" i="13"/>
  <c r="F683" i="13"/>
  <c r="G683" i="13"/>
  <c r="E683" i="13"/>
  <c r="C679" i="13"/>
  <c r="E679" i="13"/>
  <c r="F679" i="13"/>
  <c r="D679" i="13"/>
  <c r="J679" i="13"/>
  <c r="I679" i="13" s="1"/>
  <c r="H675" i="13"/>
  <c r="E675" i="13"/>
  <c r="C671" i="13"/>
  <c r="J671" i="13"/>
  <c r="I671" i="13" s="1"/>
  <c r="E671" i="13"/>
  <c r="D671" i="13"/>
  <c r="F671" i="13"/>
  <c r="C667" i="13"/>
  <c r="F667" i="13"/>
  <c r="H667" i="13"/>
  <c r="E667" i="13"/>
  <c r="H663" i="13"/>
  <c r="J663" i="13"/>
  <c r="I663" i="13" s="1"/>
  <c r="K662" i="13" s="1"/>
  <c r="G663" i="13"/>
  <c r="E663" i="13"/>
  <c r="F663" i="13"/>
  <c r="G655" i="13"/>
  <c r="C655" i="13"/>
  <c r="H655" i="13"/>
  <c r="D655" i="13"/>
  <c r="F655" i="13"/>
  <c r="G651" i="13"/>
  <c r="C651" i="13"/>
  <c r="H651" i="13"/>
  <c r="D651" i="13"/>
  <c r="F651" i="13"/>
  <c r="E651" i="13"/>
  <c r="J651" i="13"/>
  <c r="I651" i="13" s="1"/>
  <c r="H647" i="13"/>
  <c r="E647" i="13"/>
  <c r="G647" i="13"/>
  <c r="F647" i="13"/>
  <c r="C643" i="13"/>
  <c r="F643" i="13"/>
  <c r="D643" i="13"/>
  <c r="J643" i="13"/>
  <c r="I643" i="13" s="1"/>
  <c r="E643" i="13"/>
  <c r="H639" i="13"/>
  <c r="D639" i="13"/>
  <c r="C639" i="13"/>
  <c r="J639" i="13"/>
  <c r="I639" i="13" s="1"/>
  <c r="K639" i="13" s="1"/>
  <c r="C635" i="13"/>
  <c r="E635" i="13"/>
  <c r="F635" i="13"/>
  <c r="G635" i="13"/>
  <c r="C631" i="13"/>
  <c r="G631" i="13"/>
  <c r="F631" i="13"/>
  <c r="E631" i="13"/>
  <c r="H631" i="13"/>
  <c r="D631" i="13"/>
  <c r="J631" i="13"/>
  <c r="I631" i="13" s="1"/>
  <c r="G627" i="13"/>
  <c r="F627" i="13"/>
  <c r="J627" i="13"/>
  <c r="I627" i="13" s="1"/>
  <c r="K626" i="13" s="1"/>
  <c r="E627" i="13"/>
  <c r="E623" i="13"/>
  <c r="C623" i="13"/>
  <c r="G623" i="13"/>
  <c r="J623" i="13"/>
  <c r="I623" i="13" s="1"/>
  <c r="H623" i="13"/>
  <c r="D623" i="13"/>
  <c r="F623" i="13"/>
  <c r="G619" i="13"/>
  <c r="H619" i="13"/>
  <c r="E619" i="13"/>
  <c r="C619" i="13"/>
  <c r="H615" i="13"/>
  <c r="D615" i="13"/>
  <c r="F615" i="13"/>
  <c r="C615" i="13"/>
  <c r="J615" i="13"/>
  <c r="I615" i="13" s="1"/>
  <c r="H611" i="13"/>
  <c r="D611" i="13"/>
  <c r="C611" i="13"/>
  <c r="F611" i="13"/>
  <c r="G611" i="13"/>
  <c r="H607" i="13"/>
  <c r="C607" i="13"/>
  <c r="G607" i="13"/>
  <c r="D607" i="13"/>
  <c r="J607" i="13"/>
  <c r="I607" i="13" s="1"/>
  <c r="K607" i="13" s="1"/>
  <c r="F607" i="13"/>
  <c r="E607" i="13"/>
  <c r="G603" i="13"/>
  <c r="H603" i="13"/>
  <c r="C603" i="13"/>
  <c r="E603" i="13"/>
  <c r="F603" i="13"/>
  <c r="C599" i="13"/>
  <c r="G599" i="13"/>
  <c r="D599" i="13"/>
  <c r="J599" i="13"/>
  <c r="I599" i="13" s="1"/>
  <c r="F599" i="13"/>
  <c r="C595" i="13"/>
  <c r="D595" i="13"/>
  <c r="E595" i="13"/>
  <c r="J595" i="13"/>
  <c r="I595" i="13" s="1"/>
  <c r="K594" i="13" s="1"/>
  <c r="G595" i="13"/>
  <c r="F595" i="13"/>
  <c r="H595" i="13"/>
  <c r="G591" i="13"/>
  <c r="C591" i="13"/>
  <c r="H591" i="13"/>
  <c r="D591" i="13"/>
  <c r="J591" i="13"/>
  <c r="I591" i="13" s="1"/>
  <c r="K591" i="13" s="1"/>
  <c r="F591" i="13"/>
  <c r="G587" i="13"/>
  <c r="C587" i="13"/>
  <c r="H587" i="13"/>
  <c r="F587" i="13"/>
  <c r="E587" i="13"/>
  <c r="G583" i="13"/>
  <c r="D583" i="13"/>
  <c r="F583" i="13"/>
  <c r="H583" i="13"/>
  <c r="H579" i="13"/>
  <c r="C579" i="13"/>
  <c r="G579" i="13"/>
  <c r="D579" i="13"/>
  <c r="E579" i="13"/>
  <c r="J579" i="13"/>
  <c r="I579" i="13" s="1"/>
  <c r="K578" i="13" s="1"/>
  <c r="F579" i="13"/>
  <c r="C575" i="13"/>
  <c r="D575" i="13"/>
  <c r="J575" i="13"/>
  <c r="I575" i="13" s="1"/>
  <c r="K574" i="13" s="1"/>
  <c r="G575" i="13"/>
  <c r="E575" i="13"/>
  <c r="H575" i="13"/>
  <c r="C571" i="13"/>
  <c r="G571" i="13"/>
  <c r="H571" i="13"/>
  <c r="E571" i="13"/>
  <c r="F571" i="13"/>
  <c r="C567" i="13"/>
  <c r="J567" i="13"/>
  <c r="I567" i="13" s="1"/>
  <c r="G567" i="13"/>
  <c r="E567" i="13"/>
  <c r="H567" i="13"/>
  <c r="D567" i="13"/>
  <c r="E563" i="13"/>
  <c r="C563" i="13"/>
  <c r="D563" i="13"/>
  <c r="F563" i="13"/>
  <c r="G563" i="13"/>
  <c r="H563" i="13"/>
  <c r="H559" i="13"/>
  <c r="G559" i="13"/>
  <c r="C559" i="13"/>
  <c r="E559" i="13"/>
  <c r="F559" i="13"/>
  <c r="D559" i="13"/>
  <c r="C555" i="13"/>
  <c r="H555" i="13"/>
  <c r="E555" i="13"/>
  <c r="F555" i="13"/>
  <c r="H551" i="13"/>
  <c r="C551" i="13"/>
  <c r="G551" i="13"/>
  <c r="E551" i="13"/>
  <c r="D551" i="13"/>
  <c r="F551" i="13"/>
  <c r="H547" i="13"/>
  <c r="G547" i="13"/>
  <c r="F547" i="13"/>
  <c r="D547" i="13"/>
  <c r="J547" i="13"/>
  <c r="I547" i="13" s="1"/>
  <c r="K546" i="13" s="1"/>
  <c r="C543" i="13"/>
  <c r="D543" i="13"/>
  <c r="J543" i="13"/>
  <c r="I543" i="13" s="1"/>
  <c r="K542" i="13" s="1"/>
  <c r="F543" i="13"/>
  <c r="E543" i="13"/>
  <c r="G539" i="13"/>
  <c r="H539" i="13"/>
  <c r="C539" i="13"/>
  <c r="E539" i="13"/>
  <c r="F539" i="13"/>
  <c r="G535" i="13"/>
  <c r="H535" i="13"/>
  <c r="J535" i="13"/>
  <c r="I535" i="13" s="1"/>
  <c r="F535" i="13"/>
  <c r="D535" i="13"/>
  <c r="C531" i="13"/>
  <c r="H531" i="13"/>
  <c r="E531" i="13"/>
  <c r="F531" i="13"/>
  <c r="D531" i="13"/>
  <c r="G527" i="13"/>
  <c r="H527" i="13"/>
  <c r="F527" i="13"/>
  <c r="J527" i="13"/>
  <c r="I527" i="13" s="1"/>
  <c r="K527" i="13" s="1"/>
  <c r="D527" i="13"/>
  <c r="F523" i="13"/>
  <c r="G523" i="13"/>
  <c r="H523" i="13"/>
  <c r="E523" i="13"/>
  <c r="G519" i="13"/>
  <c r="C519" i="13"/>
  <c r="E519" i="13"/>
  <c r="F519" i="13"/>
  <c r="D519" i="13"/>
  <c r="H515" i="13"/>
  <c r="C515" i="13"/>
  <c r="F515" i="13"/>
  <c r="G515" i="13"/>
  <c r="E515" i="13"/>
  <c r="D515" i="13"/>
  <c r="J515" i="13"/>
  <c r="I515" i="13" s="1"/>
  <c r="K514" i="13" s="1"/>
  <c r="H511" i="13"/>
  <c r="G511" i="13"/>
  <c r="F511" i="13"/>
  <c r="J511" i="13"/>
  <c r="I511" i="13" s="1"/>
  <c r="C511" i="13"/>
  <c r="G507" i="13"/>
  <c r="H507" i="13"/>
  <c r="C507" i="13"/>
  <c r="F507" i="13"/>
  <c r="E507" i="13"/>
  <c r="H503" i="13"/>
  <c r="G503" i="13"/>
  <c r="C503" i="13"/>
  <c r="F503" i="13"/>
  <c r="D503" i="13"/>
  <c r="J503" i="13"/>
  <c r="I503" i="13" s="1"/>
  <c r="H499" i="13"/>
  <c r="C499" i="13"/>
  <c r="G499" i="13"/>
  <c r="D499" i="13"/>
  <c r="F499" i="13"/>
  <c r="E499" i="13"/>
  <c r="G495" i="13"/>
  <c r="C495" i="13"/>
  <c r="E495" i="13"/>
  <c r="F495" i="13"/>
  <c r="H495" i="13"/>
  <c r="D495" i="13"/>
  <c r="G491" i="13"/>
  <c r="C491" i="13"/>
  <c r="H491" i="13"/>
  <c r="E491" i="13"/>
  <c r="F491" i="13"/>
  <c r="C487" i="13"/>
  <c r="H487" i="13"/>
  <c r="G487" i="13"/>
  <c r="F487" i="13"/>
  <c r="E487" i="13"/>
  <c r="G483" i="13"/>
  <c r="C483" i="13"/>
  <c r="F483" i="13"/>
  <c r="D483" i="13"/>
  <c r="J483" i="13"/>
  <c r="I483" i="13" s="1"/>
  <c r="K482" i="13" s="1"/>
  <c r="E483" i="13"/>
  <c r="H479" i="13"/>
  <c r="J479" i="13"/>
  <c r="I479" i="13" s="1"/>
  <c r="K478" i="13" s="1"/>
  <c r="C479" i="13"/>
  <c r="D479" i="13"/>
  <c r="F479" i="13"/>
  <c r="E479" i="13"/>
  <c r="G479" i="13"/>
  <c r="G475" i="13"/>
  <c r="C475" i="13"/>
  <c r="H475" i="13"/>
  <c r="F475" i="13"/>
  <c r="E475" i="13"/>
  <c r="C471" i="13"/>
  <c r="H471" i="13"/>
  <c r="F471" i="13"/>
  <c r="J471" i="13"/>
  <c r="I471" i="13" s="1"/>
  <c r="E471" i="13"/>
  <c r="G471" i="13"/>
  <c r="D471" i="13"/>
  <c r="F467" i="13"/>
  <c r="E467" i="13"/>
  <c r="G467" i="13"/>
  <c r="J467" i="13"/>
  <c r="I467" i="13" s="1"/>
  <c r="K466" i="13" s="1"/>
  <c r="D467" i="13"/>
  <c r="H463" i="13"/>
  <c r="C463" i="13"/>
  <c r="G463" i="13"/>
  <c r="F463" i="13"/>
  <c r="J463" i="13"/>
  <c r="I463" i="13" s="1"/>
  <c r="K462" i="13" s="1"/>
  <c r="D463" i="13"/>
  <c r="E459" i="13"/>
  <c r="C459" i="13"/>
  <c r="H459" i="13"/>
  <c r="G459" i="13"/>
  <c r="E455" i="13"/>
  <c r="H455" i="13"/>
  <c r="D455" i="13"/>
  <c r="G455" i="13"/>
  <c r="C455" i="13"/>
  <c r="F455" i="13"/>
  <c r="J455" i="13"/>
  <c r="I455" i="13" s="1"/>
  <c r="G451" i="13"/>
  <c r="J451" i="13"/>
  <c r="I451" i="13" s="1"/>
  <c r="K451" i="13" s="1"/>
  <c r="F451" i="13"/>
  <c r="C451" i="13"/>
  <c r="H451" i="13"/>
  <c r="E451" i="13"/>
  <c r="D451" i="13"/>
  <c r="C447" i="13"/>
  <c r="F447" i="13"/>
  <c r="E447" i="13"/>
  <c r="G447" i="13"/>
  <c r="H447" i="13"/>
  <c r="D447" i="13"/>
  <c r="E443" i="13"/>
  <c r="G443" i="13"/>
  <c r="C443" i="13"/>
  <c r="H443" i="13"/>
  <c r="D439" i="13"/>
  <c r="H439" i="13"/>
  <c r="E439" i="13"/>
  <c r="C439" i="13"/>
  <c r="F439" i="13"/>
  <c r="G439" i="13"/>
  <c r="J439" i="13"/>
  <c r="I439" i="13" s="1"/>
  <c r="C435" i="13"/>
  <c r="F435" i="13"/>
  <c r="H435" i="13"/>
  <c r="G435" i="13"/>
  <c r="D435" i="13"/>
  <c r="J435" i="13"/>
  <c r="I435" i="13" s="1"/>
  <c r="K435" i="13" s="1"/>
  <c r="C431" i="13"/>
  <c r="F431" i="13"/>
  <c r="G431" i="13"/>
  <c r="H431" i="13"/>
  <c r="D431" i="13"/>
  <c r="E431" i="13"/>
  <c r="J431" i="13"/>
  <c r="I431" i="13" s="1"/>
  <c r="K431" i="13" s="1"/>
  <c r="H427" i="13"/>
  <c r="C427" i="13"/>
  <c r="E427" i="13"/>
  <c r="G427" i="13"/>
  <c r="F427" i="13"/>
  <c r="G423" i="13"/>
  <c r="C423" i="13"/>
  <c r="F423" i="13"/>
  <c r="H423" i="13"/>
  <c r="D423" i="13"/>
  <c r="E423" i="13"/>
  <c r="J423" i="13"/>
  <c r="I423" i="13" s="1"/>
  <c r="F419" i="13"/>
  <c r="C419" i="13"/>
  <c r="E419" i="13"/>
  <c r="J419" i="13"/>
  <c r="I419" i="13" s="1"/>
  <c r="K418" i="13" s="1"/>
  <c r="H419" i="13"/>
  <c r="G419" i="13"/>
  <c r="F415" i="13"/>
  <c r="H415" i="13"/>
  <c r="G415" i="13"/>
  <c r="C415" i="13"/>
  <c r="E415" i="13"/>
  <c r="D415" i="13"/>
  <c r="J415" i="13"/>
  <c r="I415" i="13" s="1"/>
  <c r="K414" i="13" s="1"/>
  <c r="C411" i="13"/>
  <c r="E411" i="13"/>
  <c r="H411" i="13"/>
  <c r="F411" i="13"/>
  <c r="G411" i="13"/>
  <c r="F407" i="13"/>
  <c r="C407" i="13"/>
  <c r="G407" i="13"/>
  <c r="H407" i="13"/>
  <c r="J407" i="13"/>
  <c r="I407" i="13" s="1"/>
  <c r="D407" i="13"/>
  <c r="D403" i="13"/>
  <c r="F403" i="13"/>
  <c r="H403" i="13"/>
  <c r="G403" i="13"/>
  <c r="C403" i="13"/>
  <c r="E403" i="13"/>
  <c r="F399" i="13"/>
  <c r="G399" i="13"/>
  <c r="J399" i="13"/>
  <c r="I399" i="13" s="1"/>
  <c r="K398" i="13" s="1"/>
  <c r="C399" i="13"/>
  <c r="E399" i="13"/>
  <c r="H399" i="13"/>
  <c r="E395" i="13"/>
  <c r="G395" i="13"/>
  <c r="F395" i="13"/>
  <c r="C395" i="13"/>
  <c r="H395" i="13"/>
  <c r="C391" i="13"/>
  <c r="G391" i="13"/>
  <c r="E391" i="13"/>
  <c r="F391" i="13"/>
  <c r="J391" i="13"/>
  <c r="I391" i="13" s="1"/>
  <c r="H391" i="13"/>
  <c r="D391" i="13"/>
  <c r="H387" i="13"/>
  <c r="G387" i="13"/>
  <c r="F387" i="13"/>
  <c r="C387" i="13"/>
  <c r="D387" i="13"/>
  <c r="J387" i="13"/>
  <c r="I387" i="13" s="1"/>
  <c r="E383" i="13"/>
  <c r="H383" i="13"/>
  <c r="G383" i="13"/>
  <c r="C383" i="13"/>
  <c r="D383" i="13"/>
  <c r="F383" i="13"/>
  <c r="F379" i="13"/>
  <c r="H379" i="13"/>
  <c r="E379" i="13"/>
  <c r="C379" i="13"/>
  <c r="G379" i="13"/>
  <c r="D375" i="13"/>
  <c r="F375" i="13"/>
  <c r="H375" i="13"/>
  <c r="C375" i="13"/>
  <c r="G375" i="13"/>
  <c r="E375" i="13"/>
  <c r="J375" i="13"/>
  <c r="I375" i="13" s="1"/>
  <c r="E371" i="13"/>
  <c r="G371" i="13"/>
  <c r="H371" i="13"/>
  <c r="C371" i="13"/>
  <c r="D371" i="13"/>
  <c r="F371" i="13"/>
  <c r="J371" i="13"/>
  <c r="I371" i="13" s="1"/>
  <c r="C367" i="13"/>
  <c r="F367" i="13"/>
  <c r="H367" i="13"/>
  <c r="G367" i="13"/>
  <c r="E367" i="13"/>
  <c r="J367" i="13"/>
  <c r="I367" i="13" s="1"/>
  <c r="K366" i="13" s="1"/>
  <c r="D367" i="13"/>
  <c r="F363" i="13"/>
  <c r="C363" i="13"/>
  <c r="G363" i="13"/>
  <c r="H363" i="13"/>
  <c r="E363" i="13"/>
  <c r="E359" i="13"/>
  <c r="G359" i="13"/>
  <c r="H359" i="13"/>
  <c r="F359" i="13"/>
  <c r="C359" i="13"/>
  <c r="D359" i="13"/>
  <c r="J359" i="13"/>
  <c r="I359" i="13" s="1"/>
  <c r="G355" i="13"/>
  <c r="H355" i="13"/>
  <c r="C355" i="13"/>
  <c r="E355" i="13"/>
  <c r="J355" i="13"/>
  <c r="I355" i="13" s="1"/>
  <c r="F355" i="13"/>
  <c r="C351" i="13"/>
  <c r="E351" i="13"/>
  <c r="H351" i="13"/>
  <c r="F351" i="13"/>
  <c r="G351" i="13"/>
  <c r="D351" i="13"/>
  <c r="J351" i="13"/>
  <c r="I351" i="13" s="1"/>
  <c r="C347" i="13"/>
  <c r="F347" i="13"/>
  <c r="G347" i="13"/>
  <c r="H347" i="13"/>
  <c r="C343" i="13"/>
  <c r="E343" i="13"/>
  <c r="G343" i="13"/>
  <c r="J343" i="13"/>
  <c r="I343" i="13" s="1"/>
  <c r="H343" i="13"/>
  <c r="D343" i="13"/>
  <c r="C339" i="13"/>
  <c r="E339" i="13"/>
  <c r="G339" i="13"/>
  <c r="F339" i="13"/>
  <c r="H339" i="13"/>
  <c r="D339" i="13"/>
  <c r="J339" i="13"/>
  <c r="I339" i="13" s="1"/>
  <c r="K338" i="13" s="1"/>
  <c r="G331" i="13"/>
  <c r="E331" i="13"/>
  <c r="H331" i="13"/>
  <c r="F331" i="13"/>
  <c r="C331" i="13"/>
  <c r="J331" i="13"/>
  <c r="I331" i="13" s="1"/>
  <c r="H327" i="13"/>
  <c r="G327" i="13"/>
  <c r="D327" i="13"/>
  <c r="E327" i="13"/>
  <c r="C327" i="13"/>
  <c r="J327" i="13"/>
  <c r="I327" i="13" s="1"/>
  <c r="K326" i="13" s="1"/>
  <c r="E323" i="13"/>
  <c r="H323" i="13"/>
  <c r="D323" i="13"/>
  <c r="J323" i="13"/>
  <c r="I323" i="13" s="1"/>
  <c r="F323" i="13"/>
  <c r="G323" i="13"/>
  <c r="H319" i="13"/>
  <c r="C319" i="13"/>
  <c r="G1059" i="13"/>
  <c r="D1059" i="13"/>
  <c r="D1055" i="13"/>
  <c r="H1055" i="13"/>
  <c r="E1055" i="13"/>
  <c r="H1047" i="13"/>
  <c r="D1047" i="13"/>
  <c r="G1031" i="13"/>
  <c r="E1031" i="13"/>
  <c r="F999" i="13"/>
  <c r="D999" i="13"/>
  <c r="C995" i="13"/>
  <c r="F995" i="13"/>
  <c r="J995" i="13"/>
  <c r="I995" i="13" s="1"/>
  <c r="G975" i="13"/>
  <c r="D975" i="13"/>
  <c r="E975" i="13"/>
  <c r="C975" i="13"/>
  <c r="C967" i="13"/>
  <c r="F967" i="13"/>
  <c r="H967" i="13"/>
  <c r="J967" i="13"/>
  <c r="I967" i="13" s="1"/>
  <c r="D967" i="13"/>
  <c r="E967" i="13"/>
  <c r="G959" i="13"/>
  <c r="F959" i="13"/>
  <c r="E959" i="13"/>
  <c r="C959" i="13"/>
  <c r="J959" i="13"/>
  <c r="I959" i="13" s="1"/>
  <c r="K958" i="13" s="1"/>
  <c r="F955" i="13"/>
  <c r="E955" i="13"/>
  <c r="H947" i="13"/>
  <c r="F947" i="13"/>
  <c r="E947" i="13"/>
  <c r="J947" i="13"/>
  <c r="I947" i="13" s="1"/>
  <c r="D947" i="13"/>
  <c r="H939" i="13"/>
  <c r="F939" i="13"/>
  <c r="E939" i="13"/>
  <c r="J939" i="13"/>
  <c r="I939" i="13" s="1"/>
  <c r="K938" i="13" s="1"/>
  <c r="D939" i="13"/>
  <c r="H923" i="13"/>
  <c r="E923" i="13"/>
  <c r="D923" i="13"/>
  <c r="C923" i="13"/>
  <c r="H659" i="13"/>
  <c r="G659" i="13"/>
  <c r="E659" i="13"/>
  <c r="F319" i="13"/>
  <c r="G335" i="13"/>
  <c r="D335" i="13"/>
  <c r="K791" i="13"/>
  <c r="J971" i="13"/>
  <c r="I971" i="13" s="1"/>
  <c r="K971" i="13" s="1"/>
  <c r="J979" i="13"/>
  <c r="I979" i="13" s="1"/>
  <c r="J911" i="13"/>
  <c r="I911" i="13" s="1"/>
  <c r="K910" i="13" s="1"/>
  <c r="J1019" i="13"/>
  <c r="I1019" i="13" s="1"/>
  <c r="K1019" i="13" s="1"/>
  <c r="J1051" i="13"/>
  <c r="I1051" i="13" s="1"/>
  <c r="D347" i="13"/>
  <c r="D379" i="13"/>
  <c r="D411" i="13"/>
  <c r="D443" i="13"/>
  <c r="D475" i="13"/>
  <c r="D507" i="13"/>
  <c r="D539" i="13"/>
  <c r="D571" i="13"/>
  <c r="D603" i="13"/>
  <c r="D635" i="13"/>
  <c r="D667" i="13"/>
  <c r="D683" i="13"/>
  <c r="D711" i="13"/>
  <c r="D743" i="13"/>
  <c r="D767" i="13"/>
  <c r="D795" i="13"/>
  <c r="D867" i="13"/>
  <c r="D895" i="13"/>
  <c r="D919" i="13"/>
  <c r="J991" i="13"/>
  <c r="I991" i="13" s="1"/>
  <c r="K990" i="13" s="1"/>
  <c r="J975" i="13"/>
  <c r="I975" i="13" s="1"/>
  <c r="J819" i="13"/>
  <c r="I819" i="13" s="1"/>
  <c r="K818" i="13" s="1"/>
  <c r="J771" i="13"/>
  <c r="I771" i="13" s="1"/>
  <c r="K771" i="13" s="1"/>
  <c r="J715" i="13"/>
  <c r="I715" i="13" s="1"/>
  <c r="K715" i="13" s="1"/>
  <c r="J647" i="13"/>
  <c r="I647" i="13" s="1"/>
  <c r="K646" i="13" s="1"/>
  <c r="J803" i="13"/>
  <c r="I803" i="13" s="1"/>
  <c r="E407" i="13"/>
  <c r="D355" i="13"/>
  <c r="E463" i="13"/>
  <c r="H1027" i="13"/>
  <c r="E655" i="13"/>
  <c r="D487" i="13"/>
  <c r="D511" i="13"/>
  <c r="H543" i="13"/>
  <c r="F575" i="13"/>
  <c r="E611" i="13"/>
  <c r="D647" i="13"/>
  <c r="F691" i="13"/>
  <c r="E727" i="13"/>
  <c r="J775" i="13"/>
  <c r="I775" i="13" s="1"/>
  <c r="K774" i="13" s="1"/>
  <c r="J815" i="13"/>
  <c r="I815" i="13" s="1"/>
  <c r="D899" i="13"/>
  <c r="C627" i="13"/>
  <c r="F459" i="13"/>
  <c r="D971" i="13"/>
  <c r="J951" i="13"/>
  <c r="I951" i="13" s="1"/>
  <c r="K951" i="13" s="1"/>
  <c r="J887" i="13"/>
  <c r="I887" i="13" s="1"/>
  <c r="K886" i="13" s="1"/>
  <c r="J855" i="13"/>
  <c r="I855" i="13" s="1"/>
  <c r="K855" i="13" s="1"/>
  <c r="J823" i="13"/>
  <c r="I823" i="13" s="1"/>
  <c r="D1019" i="13"/>
  <c r="D1051" i="13"/>
  <c r="J363" i="13"/>
  <c r="I363" i="13" s="1"/>
  <c r="K362" i="13" s="1"/>
  <c r="J395" i="13"/>
  <c r="I395" i="13" s="1"/>
  <c r="J427" i="13"/>
  <c r="I427" i="13" s="1"/>
  <c r="K426" i="13" s="1"/>
  <c r="J459" i="13"/>
  <c r="I459" i="13" s="1"/>
  <c r="K458" i="13" s="1"/>
  <c r="J491" i="13"/>
  <c r="I491" i="13" s="1"/>
  <c r="K491" i="13" s="1"/>
  <c r="J523" i="13"/>
  <c r="I523" i="13" s="1"/>
  <c r="J555" i="13"/>
  <c r="I555" i="13" s="1"/>
  <c r="J587" i="13"/>
  <c r="I587" i="13" s="1"/>
  <c r="J619" i="13"/>
  <c r="I619" i="13" s="1"/>
  <c r="K619" i="13" s="1"/>
  <c r="J659" i="13"/>
  <c r="I659" i="13" s="1"/>
  <c r="J675" i="13"/>
  <c r="I675" i="13" s="1"/>
  <c r="K675" i="13" s="1"/>
  <c r="J691" i="13"/>
  <c r="I691" i="13" s="1"/>
  <c r="K690" i="13" s="1"/>
  <c r="J719" i="13"/>
  <c r="I719" i="13" s="1"/>
  <c r="K718" i="13" s="1"/>
  <c r="J759" i="13"/>
  <c r="I759" i="13" s="1"/>
  <c r="J787" i="13"/>
  <c r="I787" i="13" s="1"/>
  <c r="J835" i="13"/>
  <c r="I835" i="13" s="1"/>
  <c r="J875" i="13"/>
  <c r="I875" i="13" s="1"/>
  <c r="K874" i="13" s="1"/>
  <c r="J903" i="13"/>
  <c r="I903" i="13" s="1"/>
  <c r="J931" i="13"/>
  <c r="I931" i="13" s="1"/>
  <c r="K931" i="13" s="1"/>
  <c r="D991" i="13"/>
  <c r="J923" i="13"/>
  <c r="I923" i="13" s="1"/>
  <c r="K923" i="13" s="1"/>
  <c r="J807" i="13"/>
  <c r="I807" i="13" s="1"/>
  <c r="J707" i="13"/>
  <c r="I707" i="13" s="1"/>
  <c r="J583" i="13"/>
  <c r="I583" i="13" s="1"/>
  <c r="J551" i="13"/>
  <c r="I551" i="13" s="1"/>
  <c r="K551" i="13" s="1"/>
  <c r="J519" i="13"/>
  <c r="I519" i="13" s="1"/>
  <c r="J487" i="13"/>
  <c r="I487" i="13" s="1"/>
  <c r="K486" i="13" s="1"/>
  <c r="E951" i="13"/>
  <c r="J879" i="13"/>
  <c r="I879" i="13" s="1"/>
  <c r="K878" i="13" s="1"/>
  <c r="J915" i="13"/>
  <c r="I915" i="13" s="1"/>
  <c r="E387" i="13"/>
  <c r="E971" i="13"/>
  <c r="E919" i="13"/>
  <c r="F759" i="13"/>
  <c r="J495" i="13"/>
  <c r="I495" i="13" s="1"/>
  <c r="K495" i="13" s="1"/>
  <c r="H519" i="13"/>
  <c r="E547" i="13"/>
  <c r="E583" i="13"/>
  <c r="F619" i="13"/>
  <c r="J655" i="13"/>
  <c r="I655" i="13" s="1"/>
  <c r="C699" i="13"/>
  <c r="D735" i="13"/>
  <c r="F783" i="13"/>
  <c r="C831" i="13"/>
  <c r="F923" i="13"/>
  <c r="F639" i="13"/>
  <c r="H1007" i="13"/>
  <c r="D1007" i="13"/>
  <c r="C335" i="13"/>
  <c r="J319" i="13"/>
  <c r="I319" i="13" s="1"/>
  <c r="E335" i="13"/>
  <c r="K391" i="13"/>
  <c r="J955" i="13"/>
  <c r="I955" i="13" s="1"/>
  <c r="K955" i="13" s="1"/>
  <c r="J999" i="13"/>
  <c r="I999" i="13" s="1"/>
  <c r="J943" i="13"/>
  <c r="I943" i="13" s="1"/>
  <c r="J1031" i="13"/>
  <c r="I1031" i="13" s="1"/>
  <c r="J1035" i="13"/>
  <c r="I1035" i="13" s="1"/>
  <c r="K1035" i="13" s="1"/>
  <c r="D363" i="13"/>
  <c r="D395" i="13"/>
  <c r="D427" i="13"/>
  <c r="D459" i="13"/>
  <c r="D491" i="13"/>
  <c r="D523" i="13"/>
  <c r="D555" i="13"/>
  <c r="D587" i="13"/>
  <c r="D619" i="13"/>
  <c r="D659" i="13"/>
  <c r="D675" i="13"/>
  <c r="D691" i="13"/>
  <c r="D719" i="13"/>
  <c r="D759" i="13"/>
  <c r="D787" i="13"/>
  <c r="D835" i="13"/>
  <c r="D875" i="13"/>
  <c r="D903" i="13"/>
  <c r="D931" i="13"/>
  <c r="J1043" i="13"/>
  <c r="I1043" i="13" s="1"/>
  <c r="K1043" i="13" s="1"/>
  <c r="J1039" i="13"/>
  <c r="I1039" i="13" s="1"/>
  <c r="K746" i="13"/>
  <c r="E999" i="13"/>
  <c r="J403" i="13"/>
  <c r="I403" i="13" s="1"/>
  <c r="J383" i="13"/>
  <c r="I383" i="13" s="1"/>
  <c r="K383" i="13" s="1"/>
  <c r="D399" i="13"/>
  <c r="F747" i="13"/>
  <c r="E755" i="13"/>
  <c r="C935" i="13"/>
  <c r="E503" i="13"/>
  <c r="E527" i="13"/>
  <c r="J559" i="13"/>
  <c r="I559" i="13" s="1"/>
  <c r="K558" i="13" s="1"/>
  <c r="E591" i="13"/>
  <c r="D627" i="13"/>
  <c r="D663" i="13"/>
  <c r="H707" i="13"/>
  <c r="D747" i="13"/>
  <c r="F795" i="13"/>
  <c r="E851" i="13"/>
  <c r="C943" i="13"/>
  <c r="E435" i="13"/>
  <c r="C323" i="13"/>
  <c r="K470" i="13"/>
  <c r="K814" i="13"/>
  <c r="G998" i="13"/>
  <c r="F1038" i="13"/>
  <c r="C1002" i="13"/>
  <c r="E1006" i="13"/>
  <c r="Z116" i="13"/>
  <c r="Z104" i="13"/>
  <c r="Z72" i="13"/>
  <c r="Z84" i="13"/>
  <c r="Z100" i="13"/>
  <c r="Z68" i="13"/>
  <c r="Z120" i="13"/>
  <c r="Z88" i="13"/>
  <c r="Z56" i="13"/>
  <c r="Z52" i="13"/>
  <c r="H679" i="13"/>
  <c r="G671" i="13"/>
  <c r="K872" i="13"/>
  <c r="E1018" i="13"/>
  <c r="C994" i="13"/>
  <c r="C739" i="13"/>
  <c r="F739" i="13"/>
  <c r="G695" i="13"/>
  <c r="K397" i="13"/>
  <c r="F540" i="13"/>
  <c r="E1054" i="13"/>
  <c r="C723" i="13"/>
  <c r="K417" i="13"/>
  <c r="K429" i="13"/>
  <c r="C1026" i="13"/>
  <c r="E1058" i="13"/>
  <c r="J811" i="13"/>
  <c r="I811" i="13" s="1"/>
  <c r="C759" i="13"/>
  <c r="H775" i="13"/>
  <c r="H755" i="13"/>
  <c r="K896" i="13"/>
  <c r="C875" i="13"/>
  <c r="C827" i="13"/>
  <c r="K866" i="13"/>
  <c r="K891" i="13"/>
  <c r="K345" i="13"/>
  <c r="K685" i="13"/>
  <c r="K829" i="13"/>
  <c r="E20" i="13"/>
  <c r="K353" i="13"/>
  <c r="K354" i="13"/>
  <c r="E1042" i="13"/>
  <c r="E19" i="13"/>
  <c r="G19" i="13"/>
  <c r="K692" i="13"/>
  <c r="K908" i="13"/>
  <c r="K1004" i="13"/>
  <c r="C1050" i="13"/>
  <c r="K664" i="13"/>
  <c r="K884" i="13"/>
  <c r="K798" i="13"/>
  <c r="C807" i="13"/>
  <c r="E867" i="13"/>
  <c r="H887" i="13"/>
  <c r="K894" i="13"/>
  <c r="G791" i="13"/>
  <c r="G679" i="13"/>
  <c r="J986" i="13"/>
  <c r="I986" i="13" s="1"/>
  <c r="K985" i="13" s="1"/>
  <c r="J994" i="13"/>
  <c r="I994" i="13" s="1"/>
  <c r="K994" i="13" s="1"/>
  <c r="J1002" i="13"/>
  <c r="I1002" i="13" s="1"/>
  <c r="K1002" i="13" s="1"/>
  <c r="J1010" i="13"/>
  <c r="I1010" i="13" s="1"/>
  <c r="J1018" i="13"/>
  <c r="I1018" i="13" s="1"/>
  <c r="J1026" i="13"/>
  <c r="I1026" i="13" s="1"/>
  <c r="J1034" i="13"/>
  <c r="I1034" i="13" s="1"/>
  <c r="K1033" i="13" s="1"/>
  <c r="J1042" i="13"/>
  <c r="I1042" i="13" s="1"/>
  <c r="K1041" i="13" s="1"/>
  <c r="J1050" i="13"/>
  <c r="I1050" i="13" s="1"/>
  <c r="K1049" i="13" s="1"/>
  <c r="J1058" i="13"/>
  <c r="I1058" i="13" s="1"/>
  <c r="K1057" i="13" s="1"/>
  <c r="K975" i="13"/>
  <c r="E18" i="13"/>
  <c r="J970" i="13"/>
  <c r="I970" i="13" s="1"/>
  <c r="D958" i="13"/>
  <c r="D982" i="13"/>
  <c r="J954" i="13"/>
  <c r="I954" i="13" s="1"/>
  <c r="K953" i="13" s="1"/>
  <c r="J974" i="13"/>
  <c r="I974" i="13" s="1"/>
  <c r="K973" i="13" s="1"/>
  <c r="D970" i="13"/>
  <c r="F1046" i="13"/>
  <c r="F974" i="13"/>
  <c r="F1050" i="13"/>
  <c r="H1022" i="13"/>
  <c r="F950" i="13"/>
  <c r="F1002" i="13"/>
  <c r="H990" i="13"/>
  <c r="H1014" i="13"/>
  <c r="F994" i="13"/>
  <c r="H1050" i="13"/>
  <c r="H950" i="13"/>
  <c r="G958" i="13"/>
  <c r="C966" i="13"/>
  <c r="H974" i="13"/>
  <c r="D978" i="13"/>
  <c r="E986" i="13"/>
  <c r="E998" i="13"/>
  <c r="G1010" i="13"/>
  <c r="G1018" i="13"/>
  <c r="G1022" i="13"/>
  <c r="E1026" i="13"/>
  <c r="E1030" i="13"/>
  <c r="E1038" i="13"/>
  <c r="G1046" i="13"/>
  <c r="G1058" i="13"/>
  <c r="H1002" i="13"/>
  <c r="C958" i="13"/>
  <c r="G1050" i="13"/>
  <c r="G1002" i="13"/>
  <c r="G1054" i="13"/>
  <c r="G974" i="13"/>
  <c r="C950" i="13"/>
  <c r="D986" i="13"/>
  <c r="D994" i="13"/>
  <c r="D1002" i="13"/>
  <c r="D1010" i="13"/>
  <c r="D1018" i="13"/>
  <c r="D1026" i="13"/>
  <c r="D1034" i="13"/>
  <c r="D1042" i="13"/>
  <c r="D1050" i="13"/>
  <c r="D1058" i="13"/>
  <c r="J962" i="13"/>
  <c r="I962" i="13" s="1"/>
  <c r="K961" i="13" s="1"/>
  <c r="J950" i="13"/>
  <c r="I950" i="13" s="1"/>
  <c r="J966" i="13"/>
  <c r="I966" i="13" s="1"/>
  <c r="K965" i="13" s="1"/>
  <c r="K773" i="13"/>
  <c r="E978" i="13"/>
  <c r="D974" i="13"/>
  <c r="E954" i="13"/>
  <c r="F1054" i="13"/>
  <c r="F998" i="13"/>
  <c r="C998" i="13"/>
  <c r="H1010" i="13"/>
  <c r="F958" i="13"/>
  <c r="F1014" i="13"/>
  <c r="H1006" i="13"/>
  <c r="C986" i="13"/>
  <c r="E950" i="13"/>
  <c r="C962" i="13"/>
  <c r="H966" i="13"/>
  <c r="E974" i="13"/>
  <c r="G982" i="13"/>
  <c r="G990" i="13"/>
  <c r="C1006" i="13"/>
  <c r="E1010" i="13"/>
  <c r="F1018" i="13"/>
  <c r="E1022" i="13"/>
  <c r="G1030" i="13"/>
  <c r="G1034" i="13"/>
  <c r="F1042" i="13"/>
  <c r="E1046" i="13"/>
  <c r="H1058" i="13"/>
  <c r="G994" i="13"/>
  <c r="H954" i="13"/>
  <c r="H994" i="13"/>
  <c r="K738" i="13"/>
  <c r="D950" i="13"/>
  <c r="D966" i="13"/>
  <c r="J978" i="13"/>
  <c r="I978" i="13" s="1"/>
  <c r="K978" i="13" s="1"/>
  <c r="F1010" i="13"/>
  <c r="F966" i="13"/>
  <c r="F1026" i="13"/>
  <c r="C990" i="13"/>
  <c r="G1042" i="13"/>
  <c r="H1038" i="13"/>
  <c r="G966" i="13"/>
  <c r="G954" i="13"/>
  <c r="H962" i="13"/>
  <c r="H978" i="13"/>
  <c r="C982" i="13"/>
  <c r="F990" i="13"/>
  <c r="F1006" i="13"/>
  <c r="H1018" i="13"/>
  <c r="E1034" i="13"/>
  <c r="C1042" i="13"/>
  <c r="H1054" i="13"/>
  <c r="H823" i="13"/>
  <c r="H819" i="13"/>
  <c r="H803" i="13"/>
  <c r="G719" i="13"/>
  <c r="G767" i="13"/>
  <c r="H735" i="13"/>
  <c r="G851" i="13"/>
  <c r="G855" i="13"/>
  <c r="H847" i="13"/>
  <c r="H827" i="13"/>
  <c r="K793" i="13"/>
  <c r="C871" i="13"/>
  <c r="E803" i="13"/>
  <c r="C895" i="13"/>
  <c r="C767" i="13"/>
  <c r="G807" i="13"/>
  <c r="H919" i="13"/>
  <c r="H731" i="13"/>
  <c r="K877" i="13"/>
  <c r="H875" i="13"/>
  <c r="C919" i="13"/>
  <c r="C799" i="13"/>
  <c r="G867" i="13"/>
  <c r="H835" i="13"/>
  <c r="J851" i="13"/>
  <c r="I851" i="13" s="1"/>
  <c r="K851" i="13" s="1"/>
  <c r="G779" i="13"/>
  <c r="C955" i="13"/>
  <c r="C883" i="13"/>
  <c r="C951" i="13"/>
  <c r="C839" i="13"/>
  <c r="C811" i="13"/>
  <c r="H779" i="13"/>
  <c r="K850" i="13"/>
  <c r="E1060" i="13"/>
  <c r="F1060" i="13"/>
  <c r="E1056" i="13"/>
  <c r="H1056" i="13"/>
  <c r="F1056" i="13"/>
  <c r="E1040" i="13"/>
  <c r="F1040" i="13"/>
  <c r="E1036" i="13"/>
  <c r="F1036" i="13"/>
  <c r="E1032" i="13"/>
  <c r="F1032" i="13"/>
  <c r="G1028" i="13"/>
  <c r="C1028" i="13"/>
  <c r="E1028" i="13"/>
  <c r="F1024" i="13"/>
  <c r="G1024" i="13"/>
  <c r="E1020" i="13"/>
  <c r="F1020" i="13"/>
  <c r="G1020" i="13"/>
  <c r="E1012" i="13"/>
  <c r="F1012" i="13"/>
  <c r="H1008" i="13"/>
  <c r="G1008" i="13"/>
  <c r="E1004" i="13"/>
  <c r="C1004" i="13"/>
  <c r="F1004" i="13"/>
  <c r="G1000" i="13"/>
  <c r="F1000" i="13"/>
  <c r="E1000" i="13"/>
  <c r="H1000" i="13"/>
  <c r="E996" i="13"/>
  <c r="G996" i="13"/>
  <c r="F996" i="13"/>
  <c r="E992" i="13"/>
  <c r="F992" i="13"/>
  <c r="G984" i="13"/>
  <c r="C984" i="13"/>
  <c r="E984" i="13"/>
  <c r="E980" i="13"/>
  <c r="F980" i="13"/>
  <c r="F976" i="13"/>
  <c r="E976" i="13"/>
  <c r="E964" i="13"/>
  <c r="F964" i="13"/>
  <c r="C964" i="13"/>
  <c r="E960" i="13"/>
  <c r="F960" i="13"/>
  <c r="E956" i="13"/>
  <c r="F956" i="13"/>
  <c r="G952" i="13"/>
  <c r="F952" i="13"/>
  <c r="E948" i="13"/>
  <c r="H948" i="13"/>
  <c r="F944" i="13"/>
  <c r="E944" i="13"/>
  <c r="F940" i="13"/>
  <c r="E940" i="13"/>
  <c r="E936" i="13"/>
  <c r="F936" i="13"/>
  <c r="E932" i="13"/>
  <c r="F932" i="13"/>
  <c r="F924" i="13"/>
  <c r="C924" i="13"/>
  <c r="G920" i="13"/>
  <c r="H920" i="13"/>
  <c r="E916" i="13"/>
  <c r="F916" i="13"/>
  <c r="E912" i="13"/>
  <c r="H912" i="13"/>
  <c r="F912" i="13"/>
  <c r="C908" i="13"/>
  <c r="F908" i="13"/>
  <c r="E908" i="13"/>
  <c r="G904" i="13"/>
  <c r="E904" i="13"/>
  <c r="H900" i="13"/>
  <c r="E900" i="13"/>
  <c r="F896" i="13"/>
  <c r="E896" i="13"/>
  <c r="G888" i="13"/>
  <c r="E888" i="13"/>
  <c r="E884" i="13"/>
  <c r="F884" i="13"/>
  <c r="F880" i="13"/>
  <c r="G880" i="13"/>
  <c r="E880" i="13"/>
  <c r="G860" i="13"/>
  <c r="E860" i="13"/>
  <c r="H856" i="13"/>
  <c r="F856" i="13"/>
  <c r="C856" i="13"/>
  <c r="F852" i="13"/>
  <c r="E852" i="13"/>
  <c r="H852" i="13"/>
  <c r="E848" i="13"/>
  <c r="F848" i="13"/>
  <c r="F836" i="13"/>
  <c r="C836" i="13"/>
  <c r="E832" i="13"/>
  <c r="F832" i="13"/>
  <c r="C824" i="13"/>
  <c r="G824" i="13"/>
  <c r="F820" i="13"/>
  <c r="G820" i="13"/>
  <c r="E816" i="13"/>
  <c r="F816" i="13"/>
  <c r="G812" i="13"/>
  <c r="E812" i="13"/>
  <c r="E804" i="13"/>
  <c r="F804" i="13"/>
  <c r="E800" i="13"/>
  <c r="F800" i="13"/>
  <c r="F784" i="13"/>
  <c r="C784" i="13"/>
  <c r="F776" i="13"/>
  <c r="E776" i="13"/>
  <c r="E768" i="13"/>
  <c r="F768" i="13"/>
  <c r="G768" i="13"/>
  <c r="H768" i="13"/>
  <c r="E752" i="13"/>
  <c r="F752" i="13"/>
  <c r="H744" i="13"/>
  <c r="E744" i="13"/>
  <c r="E736" i="13"/>
  <c r="F736" i="13"/>
  <c r="C728" i="13"/>
  <c r="H728" i="13"/>
  <c r="E728" i="13"/>
  <c r="F720" i="13"/>
  <c r="E720" i="13"/>
  <c r="E712" i="13"/>
  <c r="C712" i="13"/>
  <c r="E708" i="13"/>
  <c r="C708" i="13"/>
  <c r="F708" i="13"/>
  <c r="E704" i="13"/>
  <c r="F704" i="13"/>
  <c r="H696" i="13"/>
  <c r="E696" i="13"/>
  <c r="C696" i="13"/>
  <c r="E692" i="13"/>
  <c r="G692" i="13"/>
  <c r="F692" i="13"/>
  <c r="E688" i="13"/>
  <c r="F688" i="13"/>
  <c r="C688" i="13"/>
  <c r="G672" i="13"/>
  <c r="E672" i="13"/>
  <c r="F664" i="13"/>
  <c r="G664" i="13"/>
  <c r="E664" i="13"/>
  <c r="C664" i="13"/>
  <c r="G652" i="13"/>
  <c r="F652" i="13"/>
  <c r="C640" i="13"/>
  <c r="H640" i="13"/>
  <c r="F640" i="13"/>
  <c r="E628" i="13"/>
  <c r="F628" i="13"/>
  <c r="F624" i="13"/>
  <c r="H624" i="13"/>
  <c r="G620" i="13"/>
  <c r="F620" i="13"/>
  <c r="E620" i="13"/>
  <c r="E616" i="13"/>
  <c r="F616" i="13"/>
  <c r="E612" i="13"/>
  <c r="F612" i="13"/>
  <c r="E604" i="13"/>
  <c r="F604" i="13"/>
  <c r="E600" i="13"/>
  <c r="F600" i="13"/>
  <c r="H600" i="13"/>
  <c r="F596" i="13"/>
  <c r="G596" i="13"/>
  <c r="E596" i="13"/>
  <c r="E592" i="13"/>
  <c r="F592" i="13"/>
  <c r="F588" i="13"/>
  <c r="C588" i="13"/>
  <c r="E588" i="13"/>
  <c r="G588" i="13"/>
  <c r="F584" i="13"/>
  <c r="G584" i="13"/>
  <c r="E580" i="13"/>
  <c r="F580" i="13"/>
  <c r="E576" i="13"/>
  <c r="F576" i="13"/>
  <c r="H576" i="13"/>
  <c r="E572" i="13"/>
  <c r="F572" i="13"/>
  <c r="E564" i="13"/>
  <c r="F564" i="13"/>
  <c r="E552" i="13"/>
  <c r="F552" i="13"/>
  <c r="E544" i="13"/>
  <c r="F544" i="13"/>
  <c r="H544" i="13"/>
  <c r="E536" i="13"/>
  <c r="F536" i="13"/>
  <c r="E532" i="13"/>
  <c r="F532" i="13"/>
  <c r="E528" i="13"/>
  <c r="F528" i="13"/>
  <c r="E520" i="13"/>
  <c r="C520" i="13"/>
  <c r="E516" i="13"/>
  <c r="C516" i="13"/>
  <c r="G516" i="13"/>
  <c r="F516" i="13"/>
  <c r="F512" i="13"/>
  <c r="E512" i="13"/>
  <c r="F500" i="13"/>
  <c r="G500" i="13"/>
  <c r="H496" i="13"/>
  <c r="G496" i="13"/>
  <c r="E496" i="13"/>
  <c r="H492" i="13"/>
  <c r="F492" i="13"/>
  <c r="F488" i="13"/>
  <c r="E488" i="13"/>
  <c r="E476" i="13"/>
  <c r="F476" i="13"/>
  <c r="F468" i="13"/>
  <c r="G468" i="13"/>
  <c r="H468" i="13"/>
  <c r="E468" i="13"/>
  <c r="E464" i="13"/>
  <c r="F464" i="13"/>
  <c r="F456" i="13"/>
  <c r="H456" i="13"/>
  <c r="C452" i="13"/>
  <c r="E452" i="13"/>
  <c r="F452" i="13"/>
  <c r="E448" i="13"/>
  <c r="F448" i="13"/>
  <c r="F440" i="13"/>
  <c r="H440" i="13"/>
  <c r="E440" i="13"/>
  <c r="E436" i="13"/>
  <c r="F436" i="13"/>
  <c r="E424" i="13"/>
  <c r="F424" i="13"/>
  <c r="C424" i="13"/>
  <c r="F420" i="13"/>
  <c r="E420" i="13"/>
  <c r="F416" i="13"/>
  <c r="G416" i="13"/>
  <c r="F412" i="13"/>
  <c r="G412" i="13"/>
  <c r="E412" i="13"/>
  <c r="F408" i="13"/>
  <c r="G408" i="13"/>
  <c r="C408" i="13"/>
  <c r="G404" i="13"/>
  <c r="F404" i="13"/>
  <c r="F396" i="13"/>
  <c r="E396" i="13"/>
  <c r="G396" i="13"/>
  <c r="E392" i="13"/>
  <c r="F392" i="13"/>
  <c r="G392" i="13"/>
  <c r="E384" i="13"/>
  <c r="F384" i="13"/>
  <c r="F380" i="13"/>
  <c r="C380" i="13"/>
  <c r="E372" i="13"/>
  <c r="G372" i="13"/>
  <c r="E368" i="13"/>
  <c r="G368" i="13"/>
  <c r="F368" i="13"/>
  <c r="F364" i="13"/>
  <c r="G364" i="13"/>
  <c r="E364" i="13"/>
  <c r="E360" i="13"/>
  <c r="G360" i="13"/>
  <c r="F360" i="13"/>
  <c r="F356" i="13"/>
  <c r="G356" i="13"/>
  <c r="E352" i="13"/>
  <c r="G352" i="13"/>
  <c r="F352" i="13"/>
  <c r="E348" i="13"/>
  <c r="F348" i="13"/>
  <c r="G348" i="13"/>
  <c r="H344" i="13"/>
  <c r="F344" i="13"/>
  <c r="C344" i="13"/>
  <c r="H340" i="13"/>
  <c r="G340" i="13"/>
  <c r="C340" i="13"/>
  <c r="F340" i="13"/>
  <c r="E340" i="13"/>
  <c r="G336" i="13"/>
  <c r="J336" i="13"/>
  <c r="I336" i="13" s="1"/>
  <c r="K336" i="13" s="1"/>
  <c r="F336" i="13"/>
  <c r="H336" i="13"/>
  <c r="C336" i="13"/>
  <c r="E336" i="13"/>
  <c r="C332" i="13"/>
  <c r="H332" i="13"/>
  <c r="E332" i="13"/>
  <c r="F332" i="13"/>
  <c r="J332" i="13"/>
  <c r="I332" i="13" s="1"/>
  <c r="K331" i="13" s="1"/>
  <c r="D328" i="13"/>
  <c r="G328" i="13"/>
  <c r="J328" i="13"/>
  <c r="I328" i="13" s="1"/>
  <c r="H328" i="13"/>
  <c r="E328" i="13"/>
  <c r="C328" i="13"/>
  <c r="D324" i="13"/>
  <c r="H324" i="13"/>
  <c r="G324" i="13"/>
  <c r="J324" i="13"/>
  <c r="I324" i="13" s="1"/>
  <c r="K323" i="13" s="1"/>
  <c r="D320" i="13"/>
  <c r="H320" i="13"/>
  <c r="G320" i="13"/>
  <c r="J320" i="13"/>
  <c r="I320" i="13" s="1"/>
  <c r="K319" i="13" s="1"/>
  <c r="F320" i="13"/>
  <c r="C320" i="13"/>
  <c r="C1024" i="13"/>
  <c r="G980" i="13"/>
  <c r="E1008" i="13"/>
  <c r="G744" i="13"/>
  <c r="H960" i="13"/>
  <c r="F656" i="13"/>
  <c r="G628" i="13"/>
  <c r="F988" i="13"/>
  <c r="C860" i="13"/>
  <c r="E632" i="13"/>
  <c r="F1052" i="13"/>
  <c r="E624" i="13"/>
  <c r="F556" i="13"/>
  <c r="F975" i="13"/>
  <c r="H975" i="13"/>
  <c r="G923" i="13"/>
  <c r="F767" i="13"/>
  <c r="C851" i="13"/>
  <c r="H791" i="13"/>
  <c r="H971" i="13"/>
  <c r="G739" i="13"/>
  <c r="H767" i="13"/>
  <c r="G787" i="13"/>
  <c r="E759" i="13"/>
  <c r="C899" i="13"/>
  <c r="C915" i="13"/>
  <c r="H711" i="13"/>
  <c r="G639" i="13"/>
  <c r="H899" i="13"/>
  <c r="H671" i="13"/>
  <c r="H715" i="13"/>
  <c r="E771" i="13"/>
  <c r="F895" i="13"/>
  <c r="C647" i="13"/>
  <c r="G643" i="13"/>
  <c r="G675" i="13"/>
  <c r="H599" i="13"/>
  <c r="C727" i="13"/>
  <c r="H799" i="13"/>
  <c r="G763" i="13"/>
  <c r="G543" i="13"/>
  <c r="C843" i="13"/>
  <c r="G747" i="13"/>
  <c r="H843" i="13"/>
  <c r="G731" i="13"/>
  <c r="H787" i="13"/>
  <c r="G759" i="13"/>
  <c r="G819" i="13"/>
  <c r="C743" i="13"/>
  <c r="G723" i="13"/>
  <c r="C659" i="13"/>
  <c r="G715" i="13"/>
  <c r="C755" i="13"/>
  <c r="H831" i="13"/>
  <c r="H895" i="13"/>
  <c r="H627" i="13"/>
  <c r="G687" i="13"/>
  <c r="C675" i="13"/>
  <c r="C835" i="13"/>
  <c r="E615" i="13"/>
  <c r="G823" i="13"/>
  <c r="G615" i="13"/>
  <c r="C583" i="13"/>
  <c r="K783" i="13"/>
  <c r="K681" i="13"/>
  <c r="K741" i="13"/>
  <c r="K797" i="13"/>
  <c r="K602" i="13"/>
  <c r="K634" i="13"/>
  <c r="K682" i="13"/>
  <c r="K742" i="13"/>
  <c r="K641" i="13"/>
  <c r="J1011" i="13"/>
  <c r="I1011" i="13" s="1"/>
  <c r="K1010" i="13" s="1"/>
  <c r="E1003" i="13"/>
  <c r="J983" i="13"/>
  <c r="I983" i="13" s="1"/>
  <c r="K983" i="13" s="1"/>
  <c r="E1059" i="13"/>
  <c r="K341" i="13"/>
  <c r="K361" i="13"/>
  <c r="C1055" i="13"/>
  <c r="H995" i="13"/>
  <c r="G1055" i="13"/>
  <c r="E979" i="13"/>
  <c r="D983" i="13"/>
  <c r="E991" i="13"/>
  <c r="D995" i="13"/>
  <c r="C1003" i="13"/>
  <c r="E1007" i="13"/>
  <c r="D1011" i="13"/>
  <c r="F1023" i="13"/>
  <c r="D1027" i="13"/>
  <c r="F1035" i="13"/>
  <c r="D1039" i="13"/>
  <c r="E1051" i="13"/>
  <c r="C1059" i="13"/>
  <c r="D1015" i="13"/>
  <c r="E1047" i="13"/>
  <c r="J1055" i="13"/>
  <c r="I1055" i="13" s="1"/>
  <c r="K1055" i="13" s="1"/>
  <c r="E1039" i="13"/>
  <c r="J1027" i="13"/>
  <c r="I1027" i="13" s="1"/>
  <c r="E1027" i="13"/>
  <c r="C1007" i="13"/>
  <c r="H1059" i="13"/>
  <c r="C983" i="13"/>
  <c r="F1019" i="13"/>
  <c r="K642" i="13"/>
  <c r="D979" i="13"/>
  <c r="E987" i="13"/>
  <c r="G995" i="13"/>
  <c r="C999" i="13"/>
  <c r="F1003" i="13"/>
  <c r="F1007" i="13"/>
  <c r="H1015" i="13"/>
  <c r="H1023" i="13"/>
  <c r="H1031" i="13"/>
  <c r="D1035" i="13"/>
  <c r="F1047" i="13"/>
  <c r="F1055" i="13"/>
  <c r="F1059" i="13"/>
  <c r="G999" i="13"/>
  <c r="G979" i="13"/>
  <c r="J1059" i="13"/>
  <c r="I1059" i="13" s="1"/>
  <c r="E1035" i="13"/>
  <c r="J1047" i="13"/>
  <c r="I1047" i="13" s="1"/>
  <c r="K1047" i="13" s="1"/>
  <c r="E1023" i="13"/>
  <c r="K497" i="13"/>
  <c r="K342" i="13"/>
  <c r="F1031" i="13"/>
  <c r="C1011" i="13"/>
  <c r="G1035" i="13"/>
  <c r="C1031" i="13"/>
  <c r="C979" i="13"/>
  <c r="F983" i="13"/>
  <c r="F991" i="13"/>
  <c r="E995" i="13"/>
  <c r="G1003" i="13"/>
  <c r="G1007" i="13"/>
  <c r="E1011" i="13"/>
  <c r="E1015" i="13"/>
  <c r="F1027" i="13"/>
  <c r="C1035" i="13"/>
  <c r="F1039" i="13"/>
  <c r="C1051" i="13"/>
  <c r="G915" i="13"/>
  <c r="F867" i="13"/>
  <c r="C1019" i="13"/>
  <c r="G919" i="13"/>
  <c r="G1011" i="13"/>
  <c r="H859" i="13"/>
  <c r="C823" i="13"/>
  <c r="E875" i="13"/>
  <c r="D951" i="13"/>
  <c r="C771" i="13"/>
  <c r="C795" i="13"/>
  <c r="H771" i="13"/>
  <c r="H871" i="13"/>
  <c r="G811" i="13"/>
  <c r="H635" i="13"/>
  <c r="G699" i="13"/>
  <c r="H751" i="13"/>
  <c r="C735" i="13"/>
  <c r="G691" i="13"/>
  <c r="H703" i="13"/>
  <c r="K929" i="13"/>
  <c r="F1049" i="13"/>
  <c r="G1049" i="13"/>
  <c r="F1041" i="13"/>
  <c r="H1041" i="13"/>
  <c r="F1029" i="13"/>
  <c r="C1029" i="13"/>
  <c r="C1009" i="13"/>
  <c r="H1009" i="13"/>
  <c r="G993" i="13"/>
  <c r="H993" i="13"/>
  <c r="C993" i="13"/>
  <c r="F989" i="13"/>
  <c r="H989" i="13"/>
  <c r="G989" i="13"/>
  <c r="C985" i="13"/>
  <c r="G985" i="13"/>
  <c r="G981" i="13"/>
  <c r="C981" i="13"/>
  <c r="C973" i="13"/>
  <c r="H973" i="13"/>
  <c r="F965" i="13"/>
  <c r="C965" i="13"/>
  <c r="F961" i="13"/>
  <c r="H961" i="13"/>
  <c r="C961" i="13"/>
  <c r="G953" i="13"/>
  <c r="F953" i="13"/>
  <c r="H953" i="13"/>
  <c r="C921" i="13"/>
  <c r="H921" i="13"/>
  <c r="H917" i="13"/>
  <c r="G917" i="13"/>
  <c r="G913" i="13"/>
  <c r="H913" i="13"/>
  <c r="C913" i="13"/>
  <c r="G897" i="13"/>
  <c r="C897" i="13"/>
  <c r="C881" i="13"/>
  <c r="H881" i="13"/>
  <c r="G877" i="13"/>
  <c r="H877" i="13"/>
  <c r="C865" i="13"/>
  <c r="G865" i="13"/>
  <c r="H849" i="13"/>
  <c r="G849" i="13"/>
  <c r="H829" i="13"/>
  <c r="G829" i="13"/>
  <c r="H809" i="13"/>
  <c r="G809" i="13"/>
  <c r="C805" i="13"/>
  <c r="H805" i="13"/>
  <c r="C793" i="13"/>
  <c r="G793" i="13"/>
  <c r="G773" i="13"/>
  <c r="C773" i="13"/>
  <c r="H757" i="13"/>
  <c r="C757" i="13"/>
  <c r="H741" i="13"/>
  <c r="C741" i="13"/>
  <c r="G725" i="13"/>
  <c r="C725" i="13"/>
  <c r="H709" i="13"/>
  <c r="C709" i="13"/>
  <c r="G693" i="13"/>
  <c r="C693" i="13"/>
  <c r="C661" i="13"/>
  <c r="H661" i="13"/>
  <c r="C649" i="13"/>
  <c r="G649" i="13"/>
  <c r="G645" i="13"/>
  <c r="H645" i="13"/>
  <c r="C645" i="13"/>
  <c r="C633" i="13"/>
  <c r="H633" i="13"/>
  <c r="C625" i="13"/>
  <c r="F625" i="13"/>
  <c r="G625" i="13"/>
  <c r="D625" i="13"/>
  <c r="H625" i="13"/>
  <c r="E625" i="13"/>
  <c r="C621" i="13"/>
  <c r="D621" i="13"/>
  <c r="H621" i="13"/>
  <c r="F621" i="13"/>
  <c r="J621" i="13"/>
  <c r="I621" i="13" s="1"/>
  <c r="K620" i="13" s="1"/>
  <c r="E621" i="13"/>
  <c r="H617" i="13"/>
  <c r="G617" i="13"/>
  <c r="E617" i="13"/>
  <c r="C617" i="13"/>
  <c r="J617" i="13"/>
  <c r="I617" i="13" s="1"/>
  <c r="K617" i="13" s="1"/>
  <c r="C613" i="13"/>
  <c r="H613" i="13"/>
  <c r="D613" i="13"/>
  <c r="F613" i="13"/>
  <c r="G613" i="13"/>
  <c r="J613" i="13"/>
  <c r="I613" i="13" s="1"/>
  <c r="K612" i="13" s="1"/>
  <c r="C609" i="13"/>
  <c r="G609" i="13"/>
  <c r="H609" i="13"/>
  <c r="D609" i="13"/>
  <c r="G605" i="13"/>
  <c r="F605" i="13"/>
  <c r="H605" i="13"/>
  <c r="C605" i="13"/>
  <c r="D605" i="13"/>
  <c r="J605" i="13"/>
  <c r="I605" i="13" s="1"/>
  <c r="K604" i="13" s="1"/>
  <c r="E605" i="13"/>
  <c r="H601" i="13"/>
  <c r="C601" i="13"/>
  <c r="J601" i="13"/>
  <c r="I601" i="13" s="1"/>
  <c r="K601" i="13" s="1"/>
  <c r="E601" i="13"/>
  <c r="F601" i="13"/>
  <c r="H597" i="13"/>
  <c r="G597" i="13"/>
  <c r="C597" i="13"/>
  <c r="F597" i="13"/>
  <c r="E597" i="13"/>
  <c r="D597" i="13"/>
  <c r="J597" i="13"/>
  <c r="I597" i="13" s="1"/>
  <c r="K596" i="13" s="1"/>
  <c r="H593" i="13"/>
  <c r="F593" i="13"/>
  <c r="E593" i="13"/>
  <c r="G593" i="13"/>
  <c r="C593" i="13"/>
  <c r="G589" i="13"/>
  <c r="F589" i="13"/>
  <c r="H589" i="13"/>
  <c r="D589" i="13"/>
  <c r="C589" i="13"/>
  <c r="J589" i="13"/>
  <c r="I589" i="13" s="1"/>
  <c r="K588" i="13" s="1"/>
  <c r="E585" i="13"/>
  <c r="G585" i="13"/>
  <c r="F585" i="13"/>
  <c r="C585" i="13"/>
  <c r="D585" i="13"/>
  <c r="J585" i="13"/>
  <c r="I585" i="13" s="1"/>
  <c r="K584" i="13" s="1"/>
  <c r="H581" i="13"/>
  <c r="G581" i="13"/>
  <c r="E581" i="13"/>
  <c r="C581" i="13"/>
  <c r="F581" i="13"/>
  <c r="D581" i="13"/>
  <c r="F577" i="13"/>
  <c r="C577" i="13"/>
  <c r="D577" i="13"/>
  <c r="J577" i="13"/>
  <c r="I577" i="13" s="1"/>
  <c r="K577" i="13" s="1"/>
  <c r="G577" i="13"/>
  <c r="E577" i="13"/>
  <c r="F573" i="13"/>
  <c r="C573" i="13"/>
  <c r="G573" i="13"/>
  <c r="E573" i="13"/>
  <c r="H573" i="13"/>
  <c r="E569" i="13"/>
  <c r="F569" i="13"/>
  <c r="G569" i="13"/>
  <c r="C569" i="13"/>
  <c r="D569" i="13"/>
  <c r="J569" i="13"/>
  <c r="I569" i="13" s="1"/>
  <c r="K569" i="13" s="1"/>
  <c r="E565" i="13"/>
  <c r="H565" i="13"/>
  <c r="J565" i="13"/>
  <c r="I565" i="13" s="1"/>
  <c r="K565" i="13" s="1"/>
  <c r="C565" i="13"/>
  <c r="G565" i="13"/>
  <c r="F565" i="13"/>
  <c r="H561" i="13"/>
  <c r="F561" i="13"/>
  <c r="C561" i="13"/>
  <c r="G561" i="13"/>
  <c r="D561" i="13"/>
  <c r="J561" i="13"/>
  <c r="I561" i="13" s="1"/>
  <c r="K561" i="13" s="1"/>
  <c r="F557" i="13"/>
  <c r="H557" i="13"/>
  <c r="C557" i="13"/>
  <c r="D557" i="13"/>
  <c r="G557" i="13"/>
  <c r="J557" i="13"/>
  <c r="I557" i="13" s="1"/>
  <c r="K557" i="13" s="1"/>
  <c r="E557" i="13"/>
  <c r="G553" i="13"/>
  <c r="H553" i="13"/>
  <c r="C553" i="13"/>
  <c r="F553" i="13"/>
  <c r="J553" i="13"/>
  <c r="I553" i="13" s="1"/>
  <c r="K552" i="13" s="1"/>
  <c r="H549" i="13"/>
  <c r="G549" i="13"/>
  <c r="C549" i="13"/>
  <c r="E549" i="13"/>
  <c r="D549" i="13"/>
  <c r="F549" i="13"/>
  <c r="J549" i="13"/>
  <c r="I549" i="13" s="1"/>
  <c r="K549" i="13" s="1"/>
  <c r="H545" i="13"/>
  <c r="C545" i="13"/>
  <c r="J545" i="13"/>
  <c r="I545" i="13" s="1"/>
  <c r="K545" i="13" s="1"/>
  <c r="E545" i="13"/>
  <c r="G545" i="13"/>
  <c r="G541" i="13"/>
  <c r="J541" i="13"/>
  <c r="I541" i="13" s="1"/>
  <c r="K541" i="13" s="1"/>
  <c r="C541" i="13"/>
  <c r="F541" i="13"/>
  <c r="D541" i="13"/>
  <c r="G537" i="13"/>
  <c r="E537" i="13"/>
  <c r="H537" i="13"/>
  <c r="C537" i="13"/>
  <c r="D537" i="13"/>
  <c r="J537" i="13"/>
  <c r="I537" i="13" s="1"/>
  <c r="K536" i="13" s="1"/>
  <c r="G533" i="13"/>
  <c r="H533" i="13"/>
  <c r="C533" i="13"/>
  <c r="D533" i="13"/>
  <c r="J533" i="13"/>
  <c r="I533" i="13" s="1"/>
  <c r="K533" i="13" s="1"/>
  <c r="E533" i="13"/>
  <c r="F533" i="13"/>
  <c r="H529" i="13"/>
  <c r="C529" i="13"/>
  <c r="J529" i="13"/>
  <c r="I529" i="13" s="1"/>
  <c r="K529" i="13" s="1"/>
  <c r="G529" i="13"/>
  <c r="E529" i="13"/>
  <c r="F529" i="13"/>
  <c r="G525" i="13"/>
  <c r="H525" i="13"/>
  <c r="J525" i="13"/>
  <c r="I525" i="13" s="1"/>
  <c r="K524" i="13" s="1"/>
  <c r="E525" i="13"/>
  <c r="F525" i="13"/>
  <c r="G521" i="13"/>
  <c r="H521" i="13"/>
  <c r="C521" i="13"/>
  <c r="E521" i="13"/>
  <c r="J521" i="13"/>
  <c r="I521" i="13" s="1"/>
  <c r="F521" i="13"/>
  <c r="H517" i="13"/>
  <c r="C517" i="13"/>
  <c r="F517" i="13"/>
  <c r="E517" i="13"/>
  <c r="G517" i="13"/>
  <c r="D517" i="13"/>
  <c r="C513" i="13"/>
  <c r="G513" i="13"/>
  <c r="F513" i="13"/>
  <c r="D513" i="13"/>
  <c r="H513" i="13"/>
  <c r="J513" i="13"/>
  <c r="I513" i="13" s="1"/>
  <c r="K513" i="13" s="1"/>
  <c r="G509" i="13"/>
  <c r="J509" i="13"/>
  <c r="I509" i="13" s="1"/>
  <c r="K509" i="13" s="1"/>
  <c r="C509" i="13"/>
  <c r="D509" i="13"/>
  <c r="E509" i="13"/>
  <c r="G505" i="13"/>
  <c r="H505" i="13"/>
  <c r="E505" i="13"/>
  <c r="D505" i="13"/>
  <c r="J505" i="13"/>
  <c r="I505" i="13" s="1"/>
  <c r="K505" i="13" s="1"/>
  <c r="F505" i="13"/>
  <c r="G501" i="13"/>
  <c r="E501" i="13"/>
  <c r="C501" i="13"/>
  <c r="H501" i="13"/>
  <c r="J501" i="13"/>
  <c r="I501" i="13" s="1"/>
  <c r="K500" i="13" s="1"/>
  <c r="F501" i="13"/>
  <c r="G497" i="13"/>
  <c r="C497" i="13"/>
  <c r="E497" i="13"/>
  <c r="H497" i="13"/>
  <c r="F497" i="13"/>
  <c r="D497" i="13"/>
  <c r="G493" i="13"/>
  <c r="H493" i="13"/>
  <c r="E493" i="13"/>
  <c r="F493" i="13"/>
  <c r="C493" i="13"/>
  <c r="D493" i="13"/>
  <c r="C489" i="13"/>
  <c r="E489" i="13"/>
  <c r="F489" i="13"/>
  <c r="G489" i="13"/>
  <c r="D489" i="13"/>
  <c r="G485" i="13"/>
  <c r="E485" i="13"/>
  <c r="D485" i="13"/>
  <c r="H485" i="13"/>
  <c r="J485" i="13"/>
  <c r="I485" i="13" s="1"/>
  <c r="K484" i="13" s="1"/>
  <c r="H481" i="13"/>
  <c r="G481" i="13"/>
  <c r="C481" i="13"/>
  <c r="D481" i="13"/>
  <c r="J481" i="13"/>
  <c r="I481" i="13" s="1"/>
  <c r="K481" i="13" s="1"/>
  <c r="E481" i="13"/>
  <c r="J477" i="13"/>
  <c r="I477" i="13" s="1"/>
  <c r="K477" i="13" s="1"/>
  <c r="H477" i="13"/>
  <c r="C477" i="13"/>
  <c r="D477" i="13"/>
  <c r="G477" i="13"/>
  <c r="E477" i="13"/>
  <c r="F477" i="13"/>
  <c r="C473" i="13"/>
  <c r="G473" i="13"/>
  <c r="H473" i="13"/>
  <c r="J473" i="13"/>
  <c r="I473" i="13" s="1"/>
  <c r="K473" i="13" s="1"/>
  <c r="F473" i="13"/>
  <c r="E473" i="13"/>
  <c r="G469" i="13"/>
  <c r="E469" i="13"/>
  <c r="C469" i="13"/>
  <c r="H469" i="13"/>
  <c r="D469" i="13"/>
  <c r="C465" i="13"/>
  <c r="G465" i="13"/>
  <c r="H465" i="13"/>
  <c r="D465" i="13"/>
  <c r="J465" i="13"/>
  <c r="I465" i="13" s="1"/>
  <c r="K465" i="13" s="1"/>
  <c r="E465" i="13"/>
  <c r="H461" i="13"/>
  <c r="C461" i="13"/>
  <c r="D461" i="13"/>
  <c r="G461" i="13"/>
  <c r="E461" i="13"/>
  <c r="J461" i="13"/>
  <c r="I461" i="13" s="1"/>
  <c r="K461" i="13" s="1"/>
  <c r="H457" i="13"/>
  <c r="E457" i="13"/>
  <c r="G457" i="13"/>
  <c r="C457" i="13"/>
  <c r="D457" i="13"/>
  <c r="F457" i="13"/>
  <c r="J457" i="13"/>
  <c r="I457" i="13" s="1"/>
  <c r="K457" i="13" s="1"/>
  <c r="G453" i="13"/>
  <c r="H453" i="13"/>
  <c r="F453" i="13"/>
  <c r="E453" i="13"/>
  <c r="C453" i="13"/>
  <c r="D453" i="13"/>
  <c r="G449" i="13"/>
  <c r="C449" i="13"/>
  <c r="F449" i="13"/>
  <c r="D449" i="13"/>
  <c r="J449" i="13"/>
  <c r="I449" i="13" s="1"/>
  <c r="K449" i="13" s="1"/>
  <c r="C445" i="13"/>
  <c r="G445" i="13"/>
  <c r="H445" i="13"/>
  <c r="D445" i="13"/>
  <c r="E445" i="13"/>
  <c r="H441" i="13"/>
  <c r="G441" i="13"/>
  <c r="E441" i="13"/>
  <c r="C441" i="13"/>
  <c r="D441" i="13"/>
  <c r="J441" i="13"/>
  <c r="I441" i="13" s="1"/>
  <c r="K441" i="13" s="1"/>
  <c r="F441" i="13"/>
  <c r="H437" i="13"/>
  <c r="C437" i="13"/>
  <c r="F437" i="13"/>
  <c r="G437" i="13"/>
  <c r="J437" i="13"/>
  <c r="I437" i="13" s="1"/>
  <c r="K437" i="13" s="1"/>
  <c r="E437" i="13"/>
  <c r="H433" i="13"/>
  <c r="C433" i="13"/>
  <c r="F433" i="13"/>
  <c r="D433" i="13"/>
  <c r="G433" i="13"/>
  <c r="J433" i="13"/>
  <c r="I433" i="13" s="1"/>
  <c r="K433" i="13" s="1"/>
  <c r="C429" i="13"/>
  <c r="H429" i="13"/>
  <c r="F429" i="13"/>
  <c r="D429" i="13"/>
  <c r="E429" i="13"/>
  <c r="C425" i="13"/>
  <c r="G425" i="13"/>
  <c r="J425" i="13"/>
  <c r="I425" i="13" s="1"/>
  <c r="K425" i="13" s="1"/>
  <c r="E425" i="13"/>
  <c r="D425" i="13"/>
  <c r="H425" i="13"/>
  <c r="F425" i="13"/>
  <c r="H421" i="13"/>
  <c r="G421" i="13"/>
  <c r="E421" i="13"/>
  <c r="J421" i="13"/>
  <c r="I421" i="13" s="1"/>
  <c r="K421" i="13" s="1"/>
  <c r="F421" i="13"/>
  <c r="G417" i="13"/>
  <c r="H417" i="13"/>
  <c r="E417" i="13"/>
  <c r="C417" i="13"/>
  <c r="F417" i="13"/>
  <c r="D417" i="13"/>
  <c r="G413" i="13"/>
  <c r="C413" i="13"/>
  <c r="J413" i="13"/>
  <c r="I413" i="13" s="1"/>
  <c r="K413" i="13" s="1"/>
  <c r="H413" i="13"/>
  <c r="F413" i="13"/>
  <c r="D413" i="13"/>
  <c r="H409" i="13"/>
  <c r="G409" i="13"/>
  <c r="C409" i="13"/>
  <c r="E409" i="13"/>
  <c r="D409" i="13"/>
  <c r="J409" i="13"/>
  <c r="I409" i="13" s="1"/>
  <c r="K409" i="13" s="1"/>
  <c r="C405" i="13"/>
  <c r="G405" i="13"/>
  <c r="E405" i="13"/>
  <c r="D405" i="13"/>
  <c r="J405" i="13"/>
  <c r="I405" i="13" s="1"/>
  <c r="K405" i="13" s="1"/>
  <c r="H405" i="13"/>
  <c r="F405" i="13"/>
  <c r="H401" i="13"/>
  <c r="G401" i="13"/>
  <c r="E401" i="13"/>
  <c r="C401" i="13"/>
  <c r="F401" i="13"/>
  <c r="H397" i="13"/>
  <c r="G397" i="13"/>
  <c r="C397" i="13"/>
  <c r="E397" i="13"/>
  <c r="F397" i="13"/>
  <c r="D397" i="13"/>
  <c r="H393" i="13"/>
  <c r="E393" i="13"/>
  <c r="C393" i="13"/>
  <c r="G393" i="13"/>
  <c r="F393" i="13"/>
  <c r="D393" i="13"/>
  <c r="H389" i="13"/>
  <c r="E389" i="13"/>
  <c r="J389" i="13"/>
  <c r="I389" i="13" s="1"/>
  <c r="K388" i="13" s="1"/>
  <c r="G389" i="13"/>
  <c r="C389" i="13"/>
  <c r="D389" i="13"/>
  <c r="F389" i="13"/>
  <c r="G385" i="13"/>
  <c r="C385" i="13"/>
  <c r="H385" i="13"/>
  <c r="J385" i="13"/>
  <c r="I385" i="13" s="1"/>
  <c r="K385" i="13" s="1"/>
  <c r="E385" i="13"/>
  <c r="F385" i="13"/>
  <c r="H381" i="13"/>
  <c r="G381" i="13"/>
  <c r="E381" i="13"/>
  <c r="J381" i="13"/>
  <c r="I381" i="13" s="1"/>
  <c r="K380" i="13" s="1"/>
  <c r="C381" i="13"/>
  <c r="F381" i="13"/>
  <c r="G377" i="13"/>
  <c r="C377" i="13"/>
  <c r="F377" i="13"/>
  <c r="J377" i="13"/>
  <c r="I377" i="13" s="1"/>
  <c r="K376" i="13" s="1"/>
  <c r="E377" i="13"/>
  <c r="C373" i="13"/>
  <c r="H373" i="13"/>
  <c r="E373" i="13"/>
  <c r="D373" i="13"/>
  <c r="G373" i="13"/>
  <c r="J373" i="13"/>
  <c r="I373" i="13" s="1"/>
  <c r="K373" i="13" s="1"/>
  <c r="G369" i="13"/>
  <c r="H369" i="13"/>
  <c r="C369" i="13"/>
  <c r="D369" i="13"/>
  <c r="E369" i="13"/>
  <c r="H365" i="13"/>
  <c r="C365" i="13"/>
  <c r="G365" i="13"/>
  <c r="D365" i="13"/>
  <c r="H361" i="13"/>
  <c r="C361" i="13"/>
  <c r="E361" i="13"/>
  <c r="D361" i="13"/>
  <c r="G361" i="13"/>
  <c r="C357" i="13"/>
  <c r="H357" i="13"/>
  <c r="G357" i="13"/>
  <c r="J357" i="13"/>
  <c r="I357" i="13" s="1"/>
  <c r="K357" i="13" s="1"/>
  <c r="G353" i="13"/>
  <c r="C353" i="13"/>
  <c r="H353" i="13"/>
  <c r="E353" i="13"/>
  <c r="C349" i="13"/>
  <c r="J349" i="13"/>
  <c r="I349" i="13" s="1"/>
  <c r="K349" i="13" s="1"/>
  <c r="H349" i="13"/>
  <c r="F349" i="13"/>
  <c r="H345" i="13"/>
  <c r="E345" i="13"/>
  <c r="C345" i="13"/>
  <c r="G345" i="13"/>
  <c r="C341" i="13"/>
  <c r="E341" i="13"/>
  <c r="D341" i="13"/>
  <c r="G341" i="13"/>
  <c r="C337" i="13"/>
  <c r="G337" i="13"/>
  <c r="F337" i="13"/>
  <c r="H337" i="13"/>
  <c r="E337" i="13"/>
  <c r="G333" i="13"/>
  <c r="H333" i="13"/>
  <c r="C333" i="13"/>
  <c r="G329" i="13"/>
  <c r="H329" i="13"/>
  <c r="C329" i="13"/>
  <c r="H325" i="13"/>
  <c r="C325" i="13"/>
  <c r="J325" i="13"/>
  <c r="I325" i="13" s="1"/>
  <c r="K325" i="13" s="1"/>
  <c r="G325" i="13"/>
  <c r="C321" i="13"/>
  <c r="F321" i="13"/>
  <c r="D321" i="13"/>
  <c r="H321" i="13"/>
  <c r="J321" i="13"/>
  <c r="I321" i="13" s="1"/>
  <c r="K321" i="13" s="1"/>
  <c r="G321" i="13"/>
  <c r="N14" i="13"/>
  <c r="N15" i="13"/>
  <c r="F1045" i="13"/>
  <c r="C1037" i="13"/>
  <c r="K402" i="13"/>
  <c r="F957" i="13"/>
  <c r="C877" i="13"/>
  <c r="K370" i="13"/>
  <c r="K330" i="13"/>
  <c r="G987" i="13"/>
  <c r="C991" i="13"/>
  <c r="G927" i="13"/>
  <c r="E895" i="13"/>
  <c r="F1011" i="13"/>
  <c r="C863" i="13"/>
  <c r="G1015" i="13"/>
  <c r="K996" i="13"/>
  <c r="C971" i="13"/>
  <c r="F963" i="13"/>
  <c r="H1043" i="13"/>
  <c r="G903" i="13"/>
  <c r="C867" i="13"/>
  <c r="K868" i="13"/>
  <c r="G1043" i="13"/>
  <c r="K343" i="13"/>
  <c r="K729" i="13"/>
  <c r="K344" i="13"/>
  <c r="K333" i="13"/>
  <c r="K919" i="13"/>
  <c r="K699" i="13"/>
  <c r="K917" i="13"/>
  <c r="K710" i="13"/>
  <c r="K918" i="13"/>
  <c r="E1019" i="13"/>
  <c r="K831" i="13"/>
  <c r="K730" i="13"/>
  <c r="K790" i="13"/>
  <c r="G835" i="13"/>
  <c r="K947" i="13"/>
  <c r="K837" i="13"/>
  <c r="K789" i="13"/>
  <c r="K559" i="13"/>
  <c r="K654" i="13"/>
  <c r="K842" i="13"/>
  <c r="K687" i="13"/>
  <c r="K1023" i="13"/>
  <c r="K643" i="13"/>
  <c r="K731" i="13"/>
  <c r="K882" i="13"/>
  <c r="K649" i="13"/>
  <c r="K717" i="13"/>
  <c r="K841" i="13"/>
  <c r="K897" i="13"/>
  <c r="K914" i="13"/>
  <c r="K898" i="13"/>
  <c r="K921" i="13"/>
  <c r="K946" i="13"/>
  <c r="G1047" i="13"/>
  <c r="C1047" i="13"/>
  <c r="K806" i="13"/>
  <c r="G1019" i="13"/>
  <c r="K503" i="13"/>
  <c r="K799" i="13"/>
  <c r="K673" i="13"/>
  <c r="K598" i="13"/>
  <c r="K813" i="13"/>
  <c r="G1023" i="13"/>
  <c r="K863" i="13"/>
  <c r="K572" i="13"/>
  <c r="K582" i="13"/>
  <c r="K571" i="13"/>
  <c r="K867" i="13"/>
  <c r="K890" i="13"/>
  <c r="K751" i="13"/>
  <c r="K782" i="13"/>
  <c r="C1043" i="13"/>
  <c r="D135" i="13"/>
  <c r="F126" i="13"/>
  <c r="K428" i="13"/>
  <c r="K535" i="13"/>
  <c r="K667" i="13"/>
  <c r="K966" i="13"/>
  <c r="K593" i="13"/>
  <c r="K394" i="13"/>
  <c r="K610" i="13"/>
  <c r="K365" i="13"/>
  <c r="K369" i="13"/>
  <c r="H1025" i="13"/>
  <c r="G1025" i="13"/>
  <c r="F151" i="13"/>
  <c r="G137" i="13"/>
  <c r="D128" i="13"/>
  <c r="K352" i="13"/>
  <c r="K752" i="13"/>
  <c r="K622" i="13"/>
  <c r="E480" i="13"/>
  <c r="F480" i="13"/>
  <c r="E400" i="13"/>
  <c r="G400" i="13"/>
  <c r="E376" i="13"/>
  <c r="F376" i="13"/>
  <c r="D129" i="13"/>
  <c r="K452" i="13"/>
  <c r="K496" i="13"/>
  <c r="K609" i="13"/>
  <c r="K438" i="13"/>
  <c r="K534" i="13"/>
  <c r="K510" i="13"/>
  <c r="D926" i="13"/>
  <c r="H926" i="13"/>
  <c r="C922" i="13"/>
  <c r="E922" i="13"/>
  <c r="H922" i="13"/>
  <c r="D918" i="13"/>
  <c r="H918" i="13"/>
  <c r="C918" i="13"/>
  <c r="D914" i="13"/>
  <c r="G914" i="13"/>
  <c r="C914" i="13"/>
  <c r="G910" i="13"/>
  <c r="H910" i="13"/>
  <c r="E906" i="13"/>
  <c r="C906" i="13"/>
  <c r="G902" i="13"/>
  <c r="D902" i="13"/>
  <c r="G898" i="13"/>
  <c r="H898" i="13"/>
  <c r="D894" i="13"/>
  <c r="F894" i="13"/>
  <c r="G894" i="13"/>
  <c r="G890" i="13"/>
  <c r="H890" i="13"/>
  <c r="G886" i="13"/>
  <c r="E886" i="13"/>
  <c r="H886" i="13"/>
  <c r="C882" i="13"/>
  <c r="D882" i="13"/>
  <c r="H878" i="13"/>
  <c r="C878" i="13"/>
  <c r="G878" i="13"/>
  <c r="D878" i="13"/>
  <c r="H874" i="13"/>
  <c r="G874" i="13"/>
  <c r="C874" i="13"/>
  <c r="C870" i="13"/>
  <c r="G870" i="13"/>
  <c r="F870" i="13"/>
  <c r="G866" i="13"/>
  <c r="H866" i="13"/>
  <c r="G862" i="13"/>
  <c r="D862" i="13"/>
  <c r="G858" i="13"/>
  <c r="F858" i="13"/>
  <c r="E858" i="13"/>
  <c r="C854" i="13"/>
  <c r="G854" i="13"/>
  <c r="G850" i="13"/>
  <c r="H850" i="13"/>
  <c r="H846" i="13"/>
  <c r="G846" i="13"/>
  <c r="F846" i="13"/>
  <c r="C842" i="13"/>
  <c r="D842" i="13"/>
  <c r="E838" i="13"/>
  <c r="F838" i="13"/>
  <c r="G838" i="13"/>
  <c r="F834" i="13"/>
  <c r="C834" i="13"/>
  <c r="D834" i="13"/>
  <c r="F830" i="13"/>
  <c r="D830" i="13"/>
  <c r="F826" i="13"/>
  <c r="E826" i="13"/>
  <c r="H826" i="13"/>
  <c r="G822" i="13"/>
  <c r="D822" i="13"/>
  <c r="C822" i="13"/>
  <c r="H818" i="13"/>
  <c r="D818" i="13"/>
  <c r="C814" i="13"/>
  <c r="H814" i="13"/>
  <c r="E814" i="13"/>
  <c r="H810" i="13"/>
  <c r="F810" i="13"/>
  <c r="J810" i="13"/>
  <c r="I810" i="13" s="1"/>
  <c r="H806" i="13"/>
  <c r="F806" i="13"/>
  <c r="C806" i="13"/>
  <c r="E806" i="13"/>
  <c r="H802" i="13"/>
  <c r="F802" i="13"/>
  <c r="G802" i="13"/>
  <c r="C802" i="13"/>
  <c r="G798" i="13"/>
  <c r="H798" i="13"/>
  <c r="G794" i="13"/>
  <c r="F794" i="13"/>
  <c r="H794" i="13"/>
  <c r="C794" i="13"/>
  <c r="C790" i="13"/>
  <c r="G790" i="13"/>
  <c r="D786" i="13"/>
  <c r="C786" i="13"/>
  <c r="G786" i="13"/>
  <c r="H782" i="13"/>
  <c r="F782" i="13"/>
  <c r="C782" i="13"/>
  <c r="C778" i="13"/>
  <c r="G778" i="13"/>
  <c r="F778" i="13"/>
  <c r="C774" i="13"/>
  <c r="H774" i="13"/>
  <c r="D774" i="13"/>
  <c r="G774" i="13"/>
  <c r="G770" i="13"/>
  <c r="D770" i="13"/>
  <c r="C766" i="13"/>
  <c r="H766" i="13"/>
  <c r="H762" i="13"/>
  <c r="E762" i="13"/>
  <c r="D762" i="13"/>
  <c r="G762" i="13"/>
  <c r="H758" i="13"/>
  <c r="D758" i="13"/>
  <c r="H754" i="13"/>
  <c r="E754" i="13"/>
  <c r="D754" i="13"/>
  <c r="F754" i="13"/>
  <c r="H750" i="13"/>
  <c r="E750" i="13"/>
  <c r="G746" i="13"/>
  <c r="F746" i="13"/>
  <c r="D746" i="13"/>
  <c r="G742" i="13"/>
  <c r="F742" i="13"/>
  <c r="C742" i="13"/>
  <c r="C738" i="13"/>
  <c r="D738" i="13"/>
  <c r="H734" i="13"/>
  <c r="E734" i="13"/>
  <c r="F734" i="13"/>
  <c r="H730" i="13"/>
  <c r="C730" i="13"/>
  <c r="D730" i="13"/>
  <c r="E726" i="13"/>
  <c r="H726" i="13"/>
  <c r="F726" i="13"/>
  <c r="G726" i="13"/>
  <c r="G722" i="13"/>
  <c r="E722" i="13"/>
  <c r="D722" i="13"/>
  <c r="H718" i="13"/>
  <c r="F718" i="13"/>
  <c r="C718" i="13"/>
  <c r="D718" i="13"/>
  <c r="H714" i="13"/>
  <c r="G714" i="13"/>
  <c r="J714" i="13"/>
  <c r="I714" i="13" s="1"/>
  <c r="K713" i="13" s="1"/>
  <c r="G710" i="13"/>
  <c r="F710" i="13"/>
  <c r="D710" i="13"/>
  <c r="C710" i="13"/>
  <c r="H706" i="13"/>
  <c r="G706" i="13"/>
  <c r="F706" i="13"/>
  <c r="C702" i="13"/>
  <c r="G702" i="13"/>
  <c r="H702" i="13"/>
  <c r="H698" i="13"/>
  <c r="G698" i="13"/>
  <c r="E698" i="13"/>
  <c r="F694" i="13"/>
  <c r="D694" i="13"/>
  <c r="G690" i="13"/>
  <c r="E690" i="13"/>
  <c r="D690" i="13"/>
  <c r="F686" i="13"/>
  <c r="D686" i="13"/>
  <c r="G682" i="13"/>
  <c r="E682" i="13"/>
  <c r="F682" i="13"/>
  <c r="D682" i="13"/>
  <c r="H682" i="13"/>
  <c r="G678" i="13"/>
  <c r="C678" i="13"/>
  <c r="H674" i="13"/>
  <c r="D674" i="13"/>
  <c r="G674" i="13"/>
  <c r="C674" i="13"/>
  <c r="C670" i="13"/>
  <c r="D670" i="13"/>
  <c r="G670" i="13"/>
  <c r="F670" i="13"/>
  <c r="H666" i="13"/>
  <c r="F666" i="13"/>
  <c r="G666" i="13"/>
  <c r="E662" i="13"/>
  <c r="G662" i="13"/>
  <c r="H662" i="13"/>
  <c r="C662" i="13"/>
  <c r="F662" i="13"/>
  <c r="F658" i="13"/>
  <c r="C658" i="13"/>
  <c r="H658" i="13"/>
  <c r="C654" i="13"/>
  <c r="E654" i="13"/>
  <c r="F654" i="13"/>
  <c r="G650" i="13"/>
  <c r="H650" i="13"/>
  <c r="F650" i="13"/>
  <c r="H646" i="13"/>
  <c r="E646" i="13"/>
  <c r="D642" i="13"/>
  <c r="F642" i="13"/>
  <c r="E642" i="13"/>
  <c r="E638" i="13"/>
  <c r="J638" i="13"/>
  <c r="I638" i="13" s="1"/>
  <c r="G638" i="13"/>
  <c r="G634" i="13"/>
  <c r="D634" i="13"/>
  <c r="F618" i="13"/>
  <c r="H618" i="13"/>
  <c r="G610" i="13"/>
  <c r="C610" i="13"/>
  <c r="J606" i="13"/>
  <c r="I606" i="13" s="1"/>
  <c r="G606" i="13"/>
  <c r="C602" i="13"/>
  <c r="H602" i="13"/>
  <c r="E586" i="13"/>
  <c r="G586" i="13"/>
  <c r="H550" i="13"/>
  <c r="G550" i="13"/>
  <c r="H542" i="13"/>
  <c r="C542" i="13"/>
  <c r="G542" i="13"/>
  <c r="H526" i="13"/>
  <c r="G526" i="13"/>
  <c r="J522" i="13"/>
  <c r="I522" i="13" s="1"/>
  <c r="K522" i="13" s="1"/>
  <c r="C522" i="13"/>
  <c r="F257" i="13"/>
  <c r="J152" i="13"/>
  <c r="I152" i="13" s="1"/>
  <c r="K152" i="13" s="1"/>
  <c r="E150" i="13"/>
  <c r="H194" i="13"/>
  <c r="E297" i="13"/>
  <c r="J150" i="13"/>
  <c r="I150" i="13" s="1"/>
  <c r="H271" i="13"/>
  <c r="H180" i="13"/>
  <c r="D151" i="13"/>
  <c r="H150" i="13"/>
  <c r="D246" i="13"/>
  <c r="D195" i="13"/>
  <c r="D245" i="13"/>
  <c r="F238" i="13"/>
  <c r="C228" i="13"/>
  <c r="E210" i="13"/>
  <c r="D183" i="13"/>
  <c r="D181" i="13"/>
  <c r="E136" i="13"/>
  <c r="D308" i="13"/>
  <c r="J305" i="13"/>
  <c r="I305" i="13" s="1"/>
  <c r="K304" i="13" s="1"/>
  <c r="D302" i="13"/>
  <c r="F254" i="13"/>
  <c r="C245" i="13"/>
  <c r="H216" i="13"/>
  <c r="D210" i="13"/>
  <c r="H183" i="13"/>
  <c r="D184" i="13"/>
  <c r="E215" i="13"/>
  <c r="H292" i="13"/>
  <c r="D277" i="13"/>
  <c r="J275" i="13"/>
  <c r="I275" i="13" s="1"/>
  <c r="E220" i="13"/>
  <c r="J210" i="13"/>
  <c r="I210" i="13" s="1"/>
  <c r="K209" i="13" s="1"/>
  <c r="E197" i="13"/>
  <c r="F195" i="13"/>
  <c r="F190" i="13"/>
  <c r="D188" i="13"/>
  <c r="D185" i="13"/>
  <c r="C164" i="13"/>
  <c r="F154" i="13"/>
  <c r="D136" i="13"/>
  <c r="E294" i="13"/>
  <c r="D288" i="13"/>
  <c r="F275" i="13"/>
  <c r="G252" i="13"/>
  <c r="E222" i="13"/>
  <c r="D214" i="13"/>
  <c r="H210" i="13"/>
  <c r="G207" i="13"/>
  <c r="J192" i="13"/>
  <c r="I192" i="13" s="1"/>
  <c r="C175" i="13"/>
  <c r="H154" i="13"/>
  <c r="E188" i="13"/>
  <c r="H182" i="13"/>
  <c r="H167" i="13"/>
  <c r="F138" i="13"/>
  <c r="E186" i="13"/>
  <c r="J168" i="13"/>
  <c r="I168" i="13" s="1"/>
  <c r="J276" i="13"/>
  <c r="I276" i="13" s="1"/>
  <c r="D207" i="13"/>
  <c r="H190" i="13"/>
  <c r="J186" i="13"/>
  <c r="I186" i="13" s="1"/>
  <c r="C181" i="13"/>
  <c r="H164" i="13"/>
  <c r="C152" i="13"/>
  <c r="F310" i="13"/>
  <c r="J301" i="13"/>
  <c r="I301" i="13" s="1"/>
  <c r="C294" i="13"/>
  <c r="J284" i="13"/>
  <c r="I284" i="13" s="1"/>
  <c r="K283" i="13" s="1"/>
  <c r="J274" i="13"/>
  <c r="I274" i="13" s="1"/>
  <c r="E271" i="13"/>
  <c r="C271" i="13"/>
  <c r="D268" i="13"/>
  <c r="F262" i="13"/>
  <c r="J262" i="13"/>
  <c r="I262" i="13" s="1"/>
  <c r="H248" i="13"/>
  <c r="G243" i="13"/>
  <c r="D240" i="13"/>
  <c r="J227" i="13"/>
  <c r="I227" i="13" s="1"/>
  <c r="K227" i="13" s="1"/>
  <c r="E224" i="13"/>
  <c r="J218" i="13"/>
  <c r="I218" i="13" s="1"/>
  <c r="H215" i="13"/>
  <c r="J195" i="13"/>
  <c r="I195" i="13" s="1"/>
  <c r="K195" i="13" s="1"/>
  <c r="D193" i="13"/>
  <c r="H179" i="13"/>
  <c r="H174" i="13"/>
  <c r="C171" i="13"/>
  <c r="J157" i="13"/>
  <c r="I157" i="13" s="1"/>
  <c r="J151" i="13"/>
  <c r="I151" i="13" s="1"/>
  <c r="K151" i="13" s="1"/>
  <c r="C150" i="13"/>
  <c r="J147" i="13"/>
  <c r="I147" i="13" s="1"/>
  <c r="C141" i="13"/>
  <c r="D134" i="13"/>
  <c r="J128" i="13"/>
  <c r="I128" i="13" s="1"/>
  <c r="H987" i="13"/>
  <c r="H959" i="13"/>
  <c r="E262" i="13"/>
  <c r="C262" i="13"/>
  <c r="E260" i="13"/>
  <c r="C301" i="13"/>
  <c r="F284" i="13"/>
  <c r="D271" i="13"/>
  <c r="D250" i="13"/>
  <c r="E242" i="13"/>
  <c r="E206" i="13"/>
  <c r="G190" i="13"/>
  <c r="F168" i="13"/>
  <c r="H163" i="13"/>
  <c r="F152" i="13"/>
  <c r="E151" i="13"/>
  <c r="C151" i="13"/>
  <c r="J134" i="13"/>
  <c r="I134" i="13" s="1"/>
  <c r="F128" i="13"/>
  <c r="G262" i="13"/>
  <c r="E243" i="13"/>
  <c r="F271" i="13"/>
  <c r="D243" i="13"/>
  <c r="H168" i="13"/>
  <c r="C128" i="13"/>
  <c r="E314" i="13"/>
  <c r="D316" i="13"/>
  <c r="H300" i="13"/>
  <c r="H297" i="13"/>
  <c r="H253" i="13"/>
  <c r="C251" i="13"/>
  <c r="J247" i="13"/>
  <c r="I247" i="13" s="1"/>
  <c r="F243" i="13"/>
  <c r="H243" i="13"/>
  <c r="D241" i="13"/>
  <c r="F220" i="13"/>
  <c r="E217" i="13"/>
  <c r="J217" i="13"/>
  <c r="I217" i="13" s="1"/>
  <c r="H214" i="13"/>
  <c r="G197" i="13"/>
  <c r="F197" i="13"/>
  <c r="F194" i="13"/>
  <c r="E310" i="13"/>
  <c r="E308" i="13"/>
  <c r="E287" i="13"/>
  <c r="E279" i="13"/>
  <c r="C279" i="13"/>
  <c r="D274" i="13"/>
  <c r="C238" i="13"/>
  <c r="H236" i="13"/>
  <c r="F226" i="13"/>
  <c r="J226" i="13"/>
  <c r="I226" i="13" s="1"/>
  <c r="G220" i="13"/>
  <c r="C220" i="13"/>
  <c r="G217" i="13"/>
  <c r="F217" i="13"/>
  <c r="H197" i="13"/>
  <c r="E195" i="13"/>
  <c r="H195" i="13"/>
  <c r="C194" i="13"/>
  <c r="J193" i="13"/>
  <c r="I193" i="13" s="1"/>
  <c r="J188" i="13"/>
  <c r="I188" i="13" s="1"/>
  <c r="D186" i="13"/>
  <c r="F185" i="13"/>
  <c r="F184" i="13"/>
  <c r="E183" i="13"/>
  <c r="C182" i="13"/>
  <c r="E161" i="13"/>
  <c r="E129" i="13"/>
  <c r="J125" i="13"/>
  <c r="I125" i="13" s="1"/>
  <c r="H999" i="13"/>
  <c r="D279" i="13"/>
  <c r="H279" i="13"/>
  <c r="D217" i="13"/>
  <c r="J214" i="13"/>
  <c r="I214" i="13" s="1"/>
  <c r="E209" i="13"/>
  <c r="D197" i="13"/>
  <c r="C196" i="13"/>
  <c r="H186" i="13"/>
  <c r="C185" i="13"/>
  <c r="H184" i="13"/>
  <c r="J180" i="13"/>
  <c r="I180" i="13" s="1"/>
  <c r="K180" i="13" s="1"/>
  <c r="C126" i="13"/>
  <c r="G287" i="13"/>
  <c r="G279" i="13"/>
  <c r="J279" i="13"/>
  <c r="I279" i="13" s="1"/>
  <c r="K278" i="13" s="1"/>
  <c r="J287" i="13"/>
  <c r="I287" i="13" s="1"/>
  <c r="K287" i="13" s="1"/>
  <c r="J285" i="13"/>
  <c r="I285" i="13" s="1"/>
  <c r="D304" i="13"/>
  <c r="G293" i="13"/>
  <c r="H287" i="13"/>
  <c r="D230" i="13"/>
  <c r="D205" i="13"/>
  <c r="F159" i="13"/>
  <c r="D120" i="13"/>
  <c r="C309" i="13"/>
  <c r="H299" i="13"/>
  <c r="G289" i="13"/>
  <c r="G280" i="13"/>
  <c r="C270" i="13"/>
  <c r="C260" i="13"/>
  <c r="G240" i="13"/>
  <c r="J240" i="13"/>
  <c r="I240" i="13" s="1"/>
  <c r="E227" i="13"/>
  <c r="H227" i="13"/>
  <c r="J224" i="13"/>
  <c r="I224" i="13" s="1"/>
  <c r="G308" i="13"/>
  <c r="C308" i="13"/>
  <c r="H280" i="13"/>
  <c r="D275" i="13"/>
  <c r="H270" i="13"/>
  <c r="F247" i="13"/>
  <c r="G247" i="13"/>
  <c r="E245" i="13"/>
  <c r="H245" i="13"/>
  <c r="C244" i="13"/>
  <c r="H239" i="13"/>
  <c r="C237" i="13"/>
  <c r="G210" i="13"/>
  <c r="C210" i="13"/>
  <c r="J201" i="13"/>
  <c r="I201" i="13" s="1"/>
  <c r="G198" i="13"/>
  <c r="D191" i="13"/>
  <c r="G186" i="13"/>
  <c r="C186" i="13"/>
  <c r="G185" i="13"/>
  <c r="H185" i="13"/>
  <c r="E184" i="13"/>
  <c r="J184" i="13"/>
  <c r="I184" i="13" s="1"/>
  <c r="F182" i="13"/>
  <c r="G180" i="13"/>
  <c r="J177" i="13"/>
  <c r="I177" i="13" s="1"/>
  <c r="F176" i="13"/>
  <c r="H176" i="13"/>
  <c r="J154" i="13"/>
  <c r="I154" i="13" s="1"/>
  <c r="K153" i="13" s="1"/>
  <c r="D154" i="13"/>
  <c r="F147" i="13"/>
  <c r="D141" i="13"/>
  <c r="E138" i="13"/>
  <c r="G120" i="13"/>
  <c r="E204" i="13"/>
  <c r="F178" i="13"/>
  <c r="C178" i="13"/>
  <c r="D160" i="13"/>
  <c r="F160" i="13"/>
  <c r="D270" i="13"/>
  <c r="H251" i="13"/>
  <c r="H247" i="13"/>
  <c r="G244" i="13"/>
  <c r="E159" i="13"/>
  <c r="C159" i="13"/>
  <c r="G159" i="13"/>
  <c r="J156" i="13"/>
  <c r="I156" i="13" s="1"/>
  <c r="F156" i="13"/>
  <c r="G141" i="13"/>
  <c r="J141" i="13"/>
  <c r="I141" i="13" s="1"/>
  <c r="D256" i="13"/>
  <c r="D237" i="13"/>
  <c r="D235" i="13"/>
  <c r="J198" i="13"/>
  <c r="I198" i="13" s="1"/>
  <c r="F162" i="13"/>
  <c r="D162" i="13"/>
  <c r="E147" i="13"/>
  <c r="H147" i="13"/>
  <c r="H138" i="13"/>
  <c r="H121" i="13"/>
  <c r="D121" i="13"/>
  <c r="C119" i="13"/>
  <c r="D119" i="13"/>
  <c r="C21" i="13"/>
  <c r="E21" i="13" s="1"/>
  <c r="D318" i="13"/>
  <c r="H308" i="13"/>
  <c r="D301" i="13"/>
  <c r="D294" i="13"/>
  <c r="J293" i="13"/>
  <c r="I293" i="13" s="1"/>
  <c r="J291" i="13"/>
  <c r="I291" i="13" s="1"/>
  <c r="F287" i="13"/>
  <c r="J280" i="13"/>
  <c r="I280" i="13" s="1"/>
  <c r="E275" i="13"/>
  <c r="D257" i="13"/>
  <c r="H256" i="13"/>
  <c r="E247" i="13"/>
  <c r="C247" i="13"/>
  <c r="G245" i="13"/>
  <c r="J245" i="13"/>
  <c r="I245" i="13" s="1"/>
  <c r="D244" i="13"/>
  <c r="F244" i="13"/>
  <c r="C243" i="13"/>
  <c r="H242" i="13"/>
  <c r="H241" i="13"/>
  <c r="H240" i="13"/>
  <c r="G237" i="13"/>
  <c r="F237" i="13"/>
  <c r="D236" i="13"/>
  <c r="H235" i="13"/>
  <c r="D227" i="13"/>
  <c r="G225" i="13"/>
  <c r="H224" i="13"/>
  <c r="G214" i="13"/>
  <c r="H207" i="13"/>
  <c r="D201" i="13"/>
  <c r="J197" i="13"/>
  <c r="I197" i="13" s="1"/>
  <c r="J185" i="13"/>
  <c r="I185" i="13" s="1"/>
  <c r="G184" i="13"/>
  <c r="E182" i="13"/>
  <c r="E180" i="13"/>
  <c r="C179" i="13"/>
  <c r="F179" i="13"/>
  <c r="D164" i="13"/>
  <c r="G164" i="13"/>
  <c r="C160" i="13"/>
  <c r="J159" i="13"/>
  <c r="I159" i="13" s="1"/>
  <c r="K159" i="13" s="1"/>
  <c r="F157" i="13"/>
  <c r="C156" i="13"/>
  <c r="G154" i="13"/>
  <c r="H155" i="13"/>
  <c r="F155" i="13"/>
  <c r="H152" i="13"/>
  <c r="D152" i="13"/>
  <c r="D150" i="13"/>
  <c r="F150" i="13"/>
  <c r="G147" i="13"/>
  <c r="C147" i="13"/>
  <c r="E131" i="13"/>
  <c r="C131" i="13"/>
  <c r="J126" i="13"/>
  <c r="I126" i="13" s="1"/>
  <c r="F119" i="13"/>
  <c r="K1039" i="13"/>
  <c r="E958" i="13"/>
  <c r="D962" i="13"/>
  <c r="G970" i="13"/>
  <c r="C978" i="13"/>
  <c r="F982" i="13"/>
  <c r="H986" i="13"/>
  <c r="G814" i="13"/>
  <c r="C947" i="13"/>
  <c r="H687" i="13"/>
  <c r="G947" i="13"/>
  <c r="C547" i="13"/>
  <c r="C687" i="13"/>
  <c r="G1051" i="13"/>
  <c r="H643" i="13"/>
  <c r="G955" i="13"/>
  <c r="F659" i="13"/>
  <c r="C939" i="13"/>
  <c r="C987" i="13"/>
  <c r="C535" i="13"/>
  <c r="H955" i="13"/>
  <c r="H467" i="13"/>
  <c r="C523" i="13"/>
  <c r="G667" i="13"/>
  <c r="G971" i="13"/>
  <c r="C663" i="13"/>
  <c r="G555" i="13"/>
  <c r="G967" i="13"/>
  <c r="G991" i="13"/>
  <c r="C527" i="13"/>
  <c r="G703" i="13"/>
  <c r="G531" i="13"/>
  <c r="F443" i="13"/>
  <c r="C467" i="13"/>
  <c r="G842" i="13"/>
  <c r="K406" i="13"/>
  <c r="F951" i="13"/>
  <c r="G939" i="13"/>
  <c r="G758" i="13"/>
  <c r="F1051" i="13"/>
  <c r="G931" i="13"/>
  <c r="E931" i="13"/>
  <c r="F787" i="13"/>
  <c r="K1024" i="13"/>
  <c r="K427" i="13"/>
  <c r="K628" i="13"/>
  <c r="K987" i="13"/>
  <c r="K805" i="13"/>
  <c r="K825" i="13"/>
  <c r="Z112" i="13"/>
  <c r="Z96" i="13"/>
  <c r="Z80" i="13"/>
  <c r="Z64" i="13"/>
  <c r="Z48" i="13"/>
  <c r="Z124" i="13"/>
  <c r="Z108" i="13"/>
  <c r="Z92" i="13"/>
  <c r="Z76" i="13"/>
  <c r="Z60" i="13"/>
  <c r="Z44" i="13"/>
  <c r="Z40" i="13"/>
  <c r="F261" i="13"/>
  <c r="C261" i="13"/>
  <c r="G257" i="13"/>
  <c r="C257" i="13"/>
  <c r="D253" i="13"/>
  <c r="G228" i="13"/>
  <c r="H225" i="13"/>
  <c r="H218" i="13"/>
  <c r="F218" i="13"/>
  <c r="J216" i="13"/>
  <c r="I216" i="13" s="1"/>
  <c r="D216" i="13"/>
  <c r="J213" i="13"/>
  <c r="I213" i="13" s="1"/>
  <c r="H213" i="13"/>
  <c r="F209" i="13"/>
  <c r="D209" i="13"/>
  <c r="J208" i="13"/>
  <c r="I208" i="13" s="1"/>
  <c r="K208" i="13" s="1"/>
  <c r="H208" i="13"/>
  <c r="F202" i="13"/>
  <c r="H200" i="13"/>
  <c r="C200" i="13"/>
  <c r="C192" i="13"/>
  <c r="D192" i="13"/>
  <c r="J191" i="13"/>
  <c r="I191" i="13" s="1"/>
  <c r="K190" i="13" s="1"/>
  <c r="F191" i="13"/>
  <c r="G191" i="13"/>
  <c r="C176" i="13"/>
  <c r="H172" i="13"/>
  <c r="J170" i="13"/>
  <c r="I170" i="13" s="1"/>
  <c r="E170" i="13"/>
  <c r="H153" i="13"/>
  <c r="F153" i="13"/>
  <c r="C149" i="13"/>
  <c r="J149" i="13"/>
  <c r="I149" i="13" s="1"/>
  <c r="J148" i="13"/>
  <c r="I148" i="13" s="1"/>
  <c r="G148" i="13"/>
  <c r="F142" i="13"/>
  <c r="C142" i="13"/>
  <c r="H140" i="13"/>
  <c r="E140" i="13"/>
  <c r="C139" i="13"/>
  <c r="E139" i="13"/>
  <c r="J315" i="13"/>
  <c r="I315" i="13" s="1"/>
  <c r="F291" i="13"/>
  <c r="C203" i="13"/>
  <c r="J203" i="13"/>
  <c r="I203" i="13" s="1"/>
  <c r="K203" i="13" s="1"/>
  <c r="C198" i="13"/>
  <c r="E198" i="13"/>
  <c r="F196" i="13"/>
  <c r="D196" i="13"/>
  <c r="D178" i="13"/>
  <c r="G178" i="13"/>
  <c r="H173" i="13"/>
  <c r="G173" i="13"/>
  <c r="J169" i="13"/>
  <c r="I169" i="13" s="1"/>
  <c r="E169" i="13"/>
  <c r="J167" i="13"/>
  <c r="I167" i="13" s="1"/>
  <c r="E167" i="13"/>
  <c r="C153" i="13"/>
  <c r="H149" i="13"/>
  <c r="D148" i="13"/>
  <c r="F146" i="13"/>
  <c r="F140" i="13"/>
  <c r="J140" i="13"/>
  <c r="I140" i="13" s="1"/>
  <c r="D139" i="13"/>
  <c r="J132" i="13"/>
  <c r="I132" i="13" s="1"/>
  <c r="D132" i="13"/>
  <c r="J269" i="13"/>
  <c r="I269" i="13" s="1"/>
  <c r="K269" i="13" s="1"/>
  <c r="D261" i="13"/>
  <c r="C318" i="13"/>
  <c r="D315" i="13"/>
  <c r="D310" i="13"/>
  <c r="C310" i="13"/>
  <c r="J309" i="13"/>
  <c r="I309" i="13" s="1"/>
  <c r="J308" i="13"/>
  <c r="I308" i="13" s="1"/>
  <c r="C303" i="13"/>
  <c r="G301" i="13"/>
  <c r="H301" i="13"/>
  <c r="G300" i="13"/>
  <c r="F293" i="13"/>
  <c r="G291" i="13"/>
  <c r="C291" i="13"/>
  <c r="J289" i="13"/>
  <c r="I289" i="13" s="1"/>
  <c r="K288" i="13" s="1"/>
  <c r="C288" i="13"/>
  <c r="E280" i="13"/>
  <c r="F280" i="13"/>
  <c r="D267" i="13"/>
  <c r="D260" i="13"/>
  <c r="G259" i="13"/>
  <c r="E257" i="13"/>
  <c r="J257" i="13"/>
  <c r="I257" i="13" s="1"/>
  <c r="C255" i="13"/>
  <c r="F251" i="13"/>
  <c r="J244" i="13"/>
  <c r="I244" i="13" s="1"/>
  <c r="K243" i="13" s="1"/>
  <c r="F240" i="13"/>
  <c r="G238" i="13"/>
  <c r="J238" i="13"/>
  <c r="I238" i="13" s="1"/>
  <c r="K237" i="13" s="1"/>
  <c r="C239" i="13"/>
  <c r="F231" i="13"/>
  <c r="J231" i="13"/>
  <c r="I231" i="13" s="1"/>
  <c r="E225" i="13"/>
  <c r="F225" i="13"/>
  <c r="G224" i="13"/>
  <c r="G218" i="13"/>
  <c r="F216" i="13"/>
  <c r="G209" i="13"/>
  <c r="H209" i="13"/>
  <c r="D208" i="13"/>
  <c r="J206" i="13"/>
  <c r="I206" i="13" s="1"/>
  <c r="K205" i="13" s="1"/>
  <c r="C204" i="13"/>
  <c r="F204" i="13"/>
  <c r="G200" i="13"/>
  <c r="D198" i="13"/>
  <c r="H198" i="13"/>
  <c r="E196" i="13"/>
  <c r="H196" i="13"/>
  <c r="J194" i="13"/>
  <c r="I194" i="13" s="1"/>
  <c r="E194" i="13"/>
  <c r="H192" i="13"/>
  <c r="H191" i="13"/>
  <c r="C187" i="13"/>
  <c r="D187" i="13"/>
  <c r="H178" i="13"/>
  <c r="G176" i="13"/>
  <c r="F174" i="13"/>
  <c r="G174" i="13"/>
  <c r="G171" i="13"/>
  <c r="D170" i="13"/>
  <c r="G168" i="13"/>
  <c r="G167" i="13"/>
  <c r="C167" i="13"/>
  <c r="F165" i="13"/>
  <c r="G160" i="13"/>
  <c r="H160" i="13"/>
  <c r="E158" i="13"/>
  <c r="J155" i="13"/>
  <c r="I155" i="13" s="1"/>
  <c r="E153" i="13"/>
  <c r="G149" i="13"/>
  <c r="C148" i="13"/>
  <c r="J142" i="13"/>
  <c r="I142" i="13" s="1"/>
  <c r="G140" i="13"/>
  <c r="H141" i="13"/>
  <c r="F141" i="13"/>
  <c r="J139" i="13"/>
  <c r="I139" i="13" s="1"/>
  <c r="K139" i="13" s="1"/>
  <c r="J133" i="13"/>
  <c r="I133" i="13" s="1"/>
  <c r="G131" i="13"/>
  <c r="F130" i="13"/>
  <c r="J127" i="13"/>
  <c r="I127" i="13" s="1"/>
  <c r="F124" i="13"/>
  <c r="D286" i="13"/>
  <c r="J310" i="13"/>
  <c r="I310" i="13" s="1"/>
  <c r="G309" i="13"/>
  <c r="C305" i="13"/>
  <c r="E301" i="13"/>
  <c r="E298" i="13"/>
  <c r="D291" i="13"/>
  <c r="E285" i="13"/>
  <c r="D280" i="13"/>
  <c r="G277" i="13"/>
  <c r="E274" i="13"/>
  <c r="C269" i="13"/>
  <c r="H265" i="13"/>
  <c r="J261" i="13"/>
  <c r="I261" i="13" s="1"/>
  <c r="H260" i="13"/>
  <c r="H259" i="13"/>
  <c r="E253" i="13"/>
  <c r="F253" i="13"/>
  <c r="E251" i="13"/>
  <c r="D248" i="13"/>
  <c r="F242" i="13"/>
  <c r="E238" i="13"/>
  <c r="D238" i="13"/>
  <c r="C236" i="13"/>
  <c r="G236" i="13"/>
  <c r="H232" i="13"/>
  <c r="F224" i="13"/>
  <c r="D224" i="13"/>
  <c r="C218" i="13"/>
  <c r="H220" i="13"/>
  <c r="D220" i="13"/>
  <c r="C216" i="13"/>
  <c r="C214" i="13"/>
  <c r="F214" i="13"/>
  <c r="J211" i="13"/>
  <c r="I211" i="13" s="1"/>
  <c r="C211" i="13"/>
  <c r="C209" i="13"/>
  <c r="C208" i="13"/>
  <c r="E202" i="13"/>
  <c r="H201" i="13"/>
  <c r="C201" i="13"/>
  <c r="G196" i="13"/>
  <c r="F192" i="13"/>
  <c r="F193" i="13"/>
  <c r="C193" i="13"/>
  <c r="C191" i="13"/>
  <c r="F180" i="13"/>
  <c r="C180" i="13"/>
  <c r="D176" i="13"/>
  <c r="F172" i="13"/>
  <c r="D171" i="13"/>
  <c r="H170" i="13"/>
  <c r="C169" i="13"/>
  <c r="F167" i="13"/>
  <c r="C168" i="13"/>
  <c r="D168" i="13"/>
  <c r="D165" i="13"/>
  <c r="E160" i="13"/>
  <c r="D153" i="13"/>
  <c r="E149" i="13"/>
  <c r="F148" i="13"/>
  <c r="H148" i="13"/>
  <c r="D145" i="13"/>
  <c r="E142" i="13"/>
  <c r="D140" i="13"/>
  <c r="F139" i="13"/>
  <c r="H139" i="13"/>
  <c r="J131" i="13"/>
  <c r="I131" i="13" s="1"/>
  <c r="J130" i="13"/>
  <c r="I130" i="13" s="1"/>
  <c r="E123" i="13"/>
  <c r="D123" i="13"/>
  <c r="G128" i="13"/>
  <c r="E126" i="13"/>
  <c r="G121" i="13"/>
  <c r="G119" i="13"/>
  <c r="B22" i="13"/>
  <c r="G20" i="13"/>
  <c r="G1039" i="13"/>
  <c r="G1027" i="13"/>
  <c r="E119" i="13"/>
  <c r="K768" i="13"/>
  <c r="K942" i="13"/>
  <c r="K705" i="13"/>
  <c r="K737" i="13"/>
  <c r="K920" i="13"/>
  <c r="K1012" i="13"/>
  <c r="K706" i="13"/>
  <c r="K629" i="13"/>
  <c r="K995" i="13"/>
  <c r="K403" i="13"/>
  <c r="K422" i="13"/>
  <c r="K630" i="13"/>
  <c r="K650" i="13"/>
  <c r="K766" i="13"/>
  <c r="K807" i="13"/>
  <c r="K1003" i="13"/>
  <c r="K723" i="13"/>
  <c r="K899" i="13"/>
  <c r="K792" i="13"/>
  <c r="K668" i="13"/>
  <c r="K660" i="13"/>
  <c r="K787" i="13"/>
  <c r="K999" i="13"/>
  <c r="K563" i="13"/>
  <c r="K1036" i="13"/>
  <c r="K1052" i="13"/>
  <c r="K785" i="13"/>
  <c r="K1007" i="13"/>
  <c r="K906" i="13"/>
  <c r="K981" i="13"/>
  <c r="K688" i="13"/>
  <c r="K732" i="13"/>
  <c r="K753" i="13"/>
  <c r="K817" i="13"/>
  <c r="K945" i="13"/>
  <c r="K767" i="13"/>
  <c r="K794" i="13"/>
  <c r="K928" i="13"/>
  <c r="K819" i="13"/>
  <c r="K952" i="13"/>
  <c r="K1032" i="13"/>
  <c r="K360" i="13"/>
  <c r="K707" i="13"/>
  <c r="K1044" i="13"/>
  <c r="K832" i="13"/>
  <c r="K988" i="13"/>
  <c r="K936" i="13"/>
  <c r="K611" i="13"/>
  <c r="K743" i="13"/>
  <c r="K927" i="13"/>
  <c r="K716" i="13"/>
  <c r="K892" i="13"/>
  <c r="K663" i="13"/>
  <c r="K871" i="13"/>
  <c r="K760" i="13"/>
  <c r="K784" i="13"/>
  <c r="K786" i="13"/>
  <c r="K984" i="13"/>
  <c r="K1000" i="13"/>
  <c r="K411" i="13"/>
  <c r="K1040" i="13"/>
  <c r="K459" i="13"/>
  <c r="K603" i="13"/>
  <c r="K824" i="13"/>
  <c r="K895" i="13"/>
  <c r="K873" i="13"/>
  <c r="K672" i="13"/>
  <c r="K788" i="13"/>
  <c r="K804" i="13"/>
  <c r="K517" i="13"/>
  <c r="K750" i="13"/>
  <c r="K347" i="13"/>
  <c r="K635" i="13"/>
  <c r="K816" i="13"/>
  <c r="K876" i="13"/>
  <c r="K769" i="13"/>
  <c r="K926" i="13"/>
  <c r="K909" i="13"/>
  <c r="K636" i="13"/>
  <c r="K570" i="13"/>
  <c r="K502" i="13"/>
  <c r="Z126" i="13"/>
  <c r="Z118" i="13"/>
  <c r="Z110" i="13"/>
  <c r="Z102" i="13"/>
  <c r="Z94" i="13"/>
  <c r="Z86" i="13"/>
  <c r="Z78" i="13"/>
  <c r="Z70" i="13"/>
  <c r="Z62" i="13"/>
  <c r="Z54" i="13"/>
  <c r="Z46" i="13"/>
  <c r="Z38" i="13"/>
  <c r="Z36" i="13"/>
  <c r="K823" i="13"/>
  <c r="K666" i="13"/>
  <c r="Z122" i="13"/>
  <c r="Z114" i="13"/>
  <c r="Z106" i="13"/>
  <c r="Z98" i="13"/>
  <c r="Z90" i="13"/>
  <c r="Z82" i="13"/>
  <c r="Z74" i="13"/>
  <c r="Z66" i="13"/>
  <c r="Z58" i="13"/>
  <c r="Z50" i="13"/>
  <c r="Z42" i="13"/>
  <c r="Z34" i="13"/>
  <c r="K359" i="13"/>
  <c r="K924" i="13"/>
  <c r="K808" i="13"/>
  <c r="K708" i="13"/>
  <c r="K907" i="13"/>
  <c r="Z32" i="13"/>
  <c r="K815" i="13"/>
  <c r="Z30" i="13"/>
  <c r="K475" i="13"/>
  <c r="K653" i="13"/>
  <c r="K733" i="13"/>
  <c r="G317" i="13"/>
  <c r="J316" i="13"/>
  <c r="I316" i="13" s="1"/>
  <c r="C307" i="13"/>
  <c r="F307" i="13"/>
  <c r="F296" i="13"/>
  <c r="J296" i="13"/>
  <c r="I296" i="13" s="1"/>
  <c r="E296" i="13"/>
  <c r="C296" i="13"/>
  <c r="G296" i="13"/>
  <c r="F264" i="13"/>
  <c r="D264" i="13"/>
  <c r="C264" i="13"/>
  <c r="G264" i="13"/>
  <c r="G249" i="13"/>
  <c r="C249" i="13"/>
  <c r="J249" i="13"/>
  <c r="I249" i="13" s="1"/>
  <c r="E249" i="13"/>
  <c r="E316" i="13"/>
  <c r="C315" i="13"/>
  <c r="H315" i="13"/>
  <c r="G315" i="13"/>
  <c r="H313" i="13"/>
  <c r="J313" i="13"/>
  <c r="I313" i="13" s="1"/>
  <c r="F313" i="13"/>
  <c r="D296" i="13"/>
  <c r="J282" i="13"/>
  <c r="I282" i="13" s="1"/>
  <c r="K282" i="13" s="1"/>
  <c r="F282" i="13"/>
  <c r="E278" i="13"/>
  <c r="H281" i="13"/>
  <c r="J281" i="13"/>
  <c r="I281" i="13" s="1"/>
  <c r="D281" i="13"/>
  <c r="F281" i="13"/>
  <c r="H273" i="13"/>
  <c r="C273" i="13"/>
  <c r="C266" i="13"/>
  <c r="J266" i="13"/>
  <c r="I266" i="13" s="1"/>
  <c r="J317" i="13"/>
  <c r="I317" i="13" s="1"/>
  <c r="D317" i="13"/>
  <c r="C312" i="13"/>
  <c r="F312" i="13"/>
  <c r="C316" i="13"/>
  <c r="G316" i="13"/>
  <c r="F311" i="13"/>
  <c r="J311" i="13"/>
  <c r="I311" i="13" s="1"/>
  <c r="C306" i="13"/>
  <c r="F306" i="13"/>
  <c r="D306" i="13"/>
  <c r="H278" i="13"/>
  <c r="F278" i="13"/>
  <c r="F317" i="13"/>
  <c r="J318" i="13"/>
  <c r="I318" i="13" s="1"/>
  <c r="K318" i="13" s="1"/>
  <c r="H318" i="13"/>
  <c r="E318" i="13"/>
  <c r="F316" i="13"/>
  <c r="J314" i="13"/>
  <c r="I314" i="13" s="1"/>
  <c r="C314" i="13"/>
  <c r="H314" i="13"/>
  <c r="J306" i="13"/>
  <c r="I306" i="13" s="1"/>
  <c r="C299" i="13"/>
  <c r="D299" i="13"/>
  <c r="F299" i="13"/>
  <c r="E299" i="13"/>
  <c r="J299" i="13"/>
  <c r="I299" i="13" s="1"/>
  <c r="J295" i="13"/>
  <c r="I295" i="13" s="1"/>
  <c r="C295" i="13"/>
  <c r="G295" i="13"/>
  <c r="C272" i="13"/>
  <c r="J272" i="13"/>
  <c r="I272" i="13" s="1"/>
  <c r="K271" i="13" s="1"/>
  <c r="F272" i="13"/>
  <c r="D272" i="13"/>
  <c r="H272" i="13"/>
  <c r="G272" i="13"/>
  <c r="J264" i="13"/>
  <c r="I264" i="13" s="1"/>
  <c r="G258" i="13"/>
  <c r="C258" i="13"/>
  <c r="D258" i="13"/>
  <c r="E258" i="13"/>
  <c r="H258" i="13"/>
  <c r="J258" i="13"/>
  <c r="I258" i="13" s="1"/>
  <c r="E254" i="13"/>
  <c r="G254" i="13"/>
  <c r="C254" i="13"/>
  <c r="J254" i="13"/>
  <c r="I254" i="13" s="1"/>
  <c r="K254" i="13" s="1"/>
  <c r="D254" i="13"/>
  <c r="H317" i="13"/>
  <c r="C317" i="13"/>
  <c r="H283" i="13"/>
  <c r="D283" i="13"/>
  <c r="C283" i="13"/>
  <c r="C263" i="13"/>
  <c r="H263" i="13"/>
  <c r="F263" i="13"/>
  <c r="H249" i="13"/>
  <c r="C274" i="13"/>
  <c r="G235" i="13"/>
  <c r="G234" i="13"/>
  <c r="C232" i="13"/>
  <c r="G310" i="13"/>
  <c r="J298" i="13"/>
  <c r="I298" i="13" s="1"/>
  <c r="C297" i="13"/>
  <c r="J294" i="13"/>
  <c r="I294" i="13" s="1"/>
  <c r="E288" i="13"/>
  <c r="H288" i="13"/>
  <c r="D287" i="13"/>
  <c r="D285" i="13"/>
  <c r="E284" i="13"/>
  <c r="F274" i="13"/>
  <c r="G267" i="13"/>
  <c r="E265" i="13"/>
  <c r="G260" i="13"/>
  <c r="J260" i="13"/>
  <c r="I260" i="13" s="1"/>
  <c r="D251" i="13"/>
  <c r="E244" i="13"/>
  <c r="G242" i="13"/>
  <c r="E241" i="13"/>
  <c r="J241" i="13"/>
  <c r="I241" i="13" s="1"/>
  <c r="E240" i="13"/>
  <c r="G239" i="13"/>
  <c r="J236" i="13"/>
  <c r="I236" i="13" s="1"/>
  <c r="K236" i="13" s="1"/>
  <c r="E235" i="13"/>
  <c r="J235" i="13"/>
  <c r="I235" i="13" s="1"/>
  <c r="F234" i="13"/>
  <c r="J233" i="13"/>
  <c r="I233" i="13" s="1"/>
  <c r="D232" i="13"/>
  <c r="J232" i="13"/>
  <c r="I232" i="13" s="1"/>
  <c r="D231" i="13"/>
  <c r="C231" i="13"/>
  <c r="C230" i="13"/>
  <c r="F229" i="13"/>
  <c r="H228" i="13"/>
  <c r="D225" i="13"/>
  <c r="J225" i="13"/>
  <c r="I225" i="13" s="1"/>
  <c r="C222" i="13"/>
  <c r="D218" i="13"/>
  <c r="C217" i="13"/>
  <c r="G216" i="13"/>
  <c r="D213" i="13"/>
  <c r="F208" i="13"/>
  <c r="J207" i="13"/>
  <c r="I207" i="13" s="1"/>
  <c r="G206" i="13"/>
  <c r="C206" i="13"/>
  <c r="E205" i="13"/>
  <c r="C205" i="13"/>
  <c r="D204" i="13"/>
  <c r="H204" i="13"/>
  <c r="F203" i="13"/>
  <c r="F200" i="13"/>
  <c r="G192" i="13"/>
  <c r="E190" i="13"/>
  <c r="G188" i="13"/>
  <c r="C188" i="13"/>
  <c r="E187" i="13"/>
  <c r="H187" i="13"/>
  <c r="D182" i="13"/>
  <c r="G179" i="13"/>
  <c r="J179" i="13"/>
  <c r="I179" i="13" s="1"/>
  <c r="E178" i="13"/>
  <c r="J178" i="13"/>
  <c r="I178" i="13" s="1"/>
  <c r="J176" i="13"/>
  <c r="I176" i="13" s="1"/>
  <c r="E176" i="13"/>
  <c r="C174" i="13"/>
  <c r="D173" i="13"/>
  <c r="J172" i="13"/>
  <c r="I172" i="13" s="1"/>
  <c r="K172" i="13" s="1"/>
  <c r="D172" i="13"/>
  <c r="H171" i="13"/>
  <c r="J171" i="13"/>
  <c r="I171" i="13" s="1"/>
  <c r="E171" i="13"/>
  <c r="H169" i="13"/>
  <c r="D169" i="13"/>
  <c r="J165" i="13"/>
  <c r="I165" i="13" s="1"/>
  <c r="C163" i="13"/>
  <c r="D163" i="13"/>
  <c r="H157" i="13"/>
  <c r="C157" i="13"/>
  <c r="G157" i="13"/>
  <c r="E146" i="13"/>
  <c r="D138" i="13"/>
  <c r="J138" i="13"/>
  <c r="I138" i="13" s="1"/>
  <c r="G138" i="13"/>
  <c r="H137" i="13"/>
  <c r="C137" i="13"/>
  <c r="J137" i="13"/>
  <c r="I137" i="13" s="1"/>
  <c r="C136" i="13"/>
  <c r="J136" i="13"/>
  <c r="I136" i="13" s="1"/>
  <c r="G136" i="13"/>
  <c r="F136" i="13"/>
  <c r="C134" i="13"/>
  <c r="H134" i="13"/>
  <c r="G134" i="13"/>
  <c r="F134" i="13"/>
  <c r="D131" i="13"/>
  <c r="H131" i="13"/>
  <c r="F131" i="13"/>
  <c r="H130" i="13"/>
  <c r="G130" i="13"/>
  <c r="E130" i="13"/>
  <c r="C130" i="13"/>
  <c r="H125" i="13"/>
  <c r="E125" i="13"/>
  <c r="C125" i="13"/>
  <c r="H124" i="13"/>
  <c r="J124" i="13"/>
  <c r="I124" i="13" s="1"/>
  <c r="G124" i="13"/>
  <c r="H120" i="13"/>
  <c r="E120" i="13"/>
  <c r="C120" i="13"/>
  <c r="F120" i="13"/>
  <c r="G177" i="13"/>
  <c r="H177" i="13"/>
  <c r="E177" i="13"/>
  <c r="H166" i="13"/>
  <c r="G166" i="13"/>
  <c r="J162" i="13"/>
  <c r="I162" i="13" s="1"/>
  <c r="E162" i="13"/>
  <c r="F161" i="13"/>
  <c r="C161" i="13"/>
  <c r="G161" i="13"/>
  <c r="J158" i="13"/>
  <c r="I158" i="13" s="1"/>
  <c r="C158" i="13"/>
  <c r="C146" i="13"/>
  <c r="E145" i="13"/>
  <c r="J145" i="13"/>
  <c r="I145" i="13" s="1"/>
  <c r="C145" i="13"/>
  <c r="F145" i="13"/>
  <c r="C143" i="13"/>
  <c r="G143" i="13"/>
  <c r="H143" i="13"/>
  <c r="C135" i="13"/>
  <c r="J135" i="13"/>
  <c r="I135" i="13" s="1"/>
  <c r="E135" i="13"/>
  <c r="F135" i="13"/>
  <c r="F285" i="13"/>
  <c r="C277" i="13"/>
  <c r="G274" i="13"/>
  <c r="E269" i="13"/>
  <c r="J267" i="13"/>
  <c r="I267" i="13" s="1"/>
  <c r="K266" i="13" s="1"/>
  <c r="G251" i="13"/>
  <c r="H250" i="13"/>
  <c r="F235" i="13"/>
  <c r="J234" i="13"/>
  <c r="I234" i="13" s="1"/>
  <c r="E232" i="13"/>
  <c r="F232" i="13"/>
  <c r="E231" i="13"/>
  <c r="H231" i="13"/>
  <c r="G230" i="13"/>
  <c r="H230" i="13"/>
  <c r="E228" i="13"/>
  <c r="E226" i="13"/>
  <c r="C226" i="13"/>
  <c r="G223" i="13"/>
  <c r="G222" i="13"/>
  <c r="J222" i="13"/>
  <c r="I222" i="13" s="1"/>
  <c r="F213" i="13"/>
  <c r="E208" i="13"/>
  <c r="E207" i="13"/>
  <c r="C207" i="13"/>
  <c r="D206" i="13"/>
  <c r="H206" i="13"/>
  <c r="H205" i="13"/>
  <c r="G204" i="13"/>
  <c r="E203" i="13"/>
  <c r="H203" i="13"/>
  <c r="E200" i="13"/>
  <c r="J200" i="13"/>
  <c r="I200" i="13" s="1"/>
  <c r="E193" i="13"/>
  <c r="H193" i="13"/>
  <c r="C190" i="13"/>
  <c r="H189" i="13"/>
  <c r="G187" i="13"/>
  <c r="H188" i="13"/>
  <c r="F187" i="13"/>
  <c r="G182" i="13"/>
  <c r="C177" i="13"/>
  <c r="J175" i="13"/>
  <c r="I175" i="13" s="1"/>
  <c r="D175" i="13"/>
  <c r="J166" i="13"/>
  <c r="I166" i="13" s="1"/>
  <c r="J164" i="13"/>
  <c r="I164" i="13" s="1"/>
  <c r="E164" i="13"/>
  <c r="C162" i="13"/>
  <c r="D161" i="13"/>
  <c r="D158" i="13"/>
  <c r="H145" i="13"/>
  <c r="D143" i="13"/>
  <c r="H135" i="13"/>
  <c r="G133" i="13"/>
  <c r="C129" i="13"/>
  <c r="J129" i="13"/>
  <c r="I129" i="13" s="1"/>
  <c r="G129" i="13"/>
  <c r="F129" i="13"/>
  <c r="H127" i="13"/>
  <c r="E127" i="13"/>
  <c r="F127" i="13"/>
  <c r="C123" i="13"/>
  <c r="J123" i="13"/>
  <c r="I123" i="13" s="1"/>
  <c r="G123" i="13"/>
  <c r="F123" i="13"/>
  <c r="J122" i="13"/>
  <c r="I122" i="13" s="1"/>
  <c r="H122" i="13"/>
  <c r="E122" i="13"/>
  <c r="C121" i="13"/>
  <c r="J121" i="13"/>
  <c r="I121" i="13" s="1"/>
  <c r="K120" i="13" s="1"/>
  <c r="E121" i="13"/>
  <c r="F121" i="13"/>
  <c r="D290" i="13"/>
  <c r="H277" i="13"/>
  <c r="F267" i="13"/>
  <c r="D233" i="13"/>
  <c r="G231" i="13"/>
  <c r="D222" i="13"/>
  <c r="H222" i="13"/>
  <c r="F219" i="13"/>
  <c r="G213" i="13"/>
  <c r="C213" i="13"/>
  <c r="F205" i="13"/>
  <c r="D200" i="13"/>
  <c r="J187" i="13"/>
  <c r="I187" i="13" s="1"/>
  <c r="F177" i="13"/>
  <c r="J174" i="13"/>
  <c r="I174" i="13" s="1"/>
  <c r="K174" i="13" s="1"/>
  <c r="E174" i="13"/>
  <c r="E173" i="13"/>
  <c r="C173" i="13"/>
  <c r="F173" i="13"/>
  <c r="C166" i="13"/>
  <c r="H165" i="13"/>
  <c r="C165" i="13"/>
  <c r="G162" i="13"/>
  <c r="H162" i="13"/>
  <c r="J161" i="13"/>
  <c r="I161" i="13" s="1"/>
  <c r="K160" i="13" s="1"/>
  <c r="H158" i="13"/>
  <c r="D146" i="13"/>
  <c r="J146" i="13"/>
  <c r="I146" i="13" s="1"/>
  <c r="G146" i="13"/>
  <c r="J144" i="13"/>
  <c r="I144" i="13" s="1"/>
  <c r="E144" i="13"/>
  <c r="H144" i="13"/>
  <c r="H133" i="13"/>
  <c r="E133" i="13"/>
  <c r="F133" i="13"/>
  <c r="C133" i="13"/>
  <c r="K444" i="13"/>
  <c r="K757" i="13"/>
  <c r="K857" i="13"/>
  <c r="K689" i="13"/>
  <c r="K761" i="13"/>
  <c r="D159" i="13"/>
  <c r="H156" i="13"/>
  <c r="D155" i="13"/>
  <c r="E154" i="13"/>
  <c r="G153" i="13"/>
  <c r="E152" i="13"/>
  <c r="G151" i="13"/>
  <c r="H132" i="13"/>
  <c r="E128" i="13"/>
  <c r="J119" i="13"/>
  <c r="I119" i="13" s="1"/>
  <c r="K119" i="13" s="1"/>
  <c r="K665" i="13"/>
  <c r="K885" i="13"/>
  <c r="K905" i="13"/>
  <c r="K869" i="13"/>
  <c r="C1046" i="13"/>
  <c r="K395" i="13"/>
  <c r="K396" i="13"/>
  <c r="K913" i="13"/>
  <c r="K912" i="13"/>
  <c r="K340" i="13"/>
  <c r="K339" i="13"/>
  <c r="K781" i="13"/>
  <c r="K780" i="13"/>
  <c r="K745" i="13"/>
  <c r="K744" i="13"/>
  <c r="K393" i="13"/>
  <c r="K392" i="13"/>
  <c r="K580" i="13"/>
  <c r="K581" i="13"/>
  <c r="K656" i="13"/>
  <c r="K655" i="13"/>
  <c r="K940" i="13"/>
  <c r="K941" i="13"/>
  <c r="K329" i="13"/>
  <c r="K853" i="13"/>
  <c r="K1031" i="13"/>
  <c r="K657" i="13"/>
  <c r="K762" i="13"/>
  <c r="K870" i="13"/>
  <c r="K858" i="13"/>
  <c r="K956" i="13"/>
  <c r="K957" i="13"/>
  <c r="K1014" i="13"/>
  <c r="K1013" i="13"/>
  <c r="K562" i="13"/>
  <c r="K883" i="13"/>
  <c r="K925" i="13"/>
  <c r="K554" i="13"/>
  <c r="K902" i="13"/>
  <c r="K445" i="13"/>
  <c r="K911" i="13"/>
  <c r="K516" i="13"/>
  <c r="K515" i="13"/>
  <c r="K701" i="13"/>
  <c r="K700" i="13"/>
  <c r="K379" i="13"/>
  <c r="K479" i="13"/>
  <c r="K507" i="13"/>
  <c r="K759" i="13"/>
  <c r="K758" i="13"/>
  <c r="K471" i="13"/>
  <c r="K492" i="13"/>
  <c r="K651" i="13"/>
  <c r="K652" i="13"/>
  <c r="K860" i="13"/>
  <c r="K859" i="13"/>
  <c r="K881" i="13"/>
  <c r="K803" i="13"/>
  <c r="K802" i="13"/>
  <c r="K446" i="13"/>
  <c r="K992" i="13"/>
  <c r="K861" i="13"/>
  <c r="K822" i="13"/>
  <c r="K972" i="13"/>
  <c r="K777" i="13"/>
  <c r="K776" i="13"/>
  <c r="K865" i="13"/>
  <c r="K864" i="13"/>
  <c r="K901" i="13"/>
  <c r="K900" i="13"/>
  <c r="K721" i="13"/>
  <c r="K722" i="13"/>
  <c r="K968" i="13"/>
  <c r="K967" i="13"/>
  <c r="K964" i="13"/>
  <c r="K820" i="13"/>
  <c r="K821" i="13"/>
  <c r="K658" i="13"/>
  <c r="K659" i="13"/>
  <c r="K944" i="13"/>
  <c r="K943" i="13"/>
  <c r="K1056" i="13"/>
  <c r="K1046" i="13"/>
  <c r="K1045" i="13"/>
  <c r="K1016" i="13"/>
  <c r="K1015" i="13"/>
  <c r="K980" i="13"/>
  <c r="K979" i="13"/>
  <c r="K948" i="13"/>
  <c r="K749" i="13"/>
  <c r="K1008" i="13"/>
  <c r="K846" i="13"/>
  <c r="Z125" i="13"/>
  <c r="Z121" i="13"/>
  <c r="Z117" i="13"/>
  <c r="Z113" i="13"/>
  <c r="Z109" i="13"/>
  <c r="Z105" i="13"/>
  <c r="Z101" i="13"/>
  <c r="Z97" i="13"/>
  <c r="Z93" i="13"/>
  <c r="Z89" i="13"/>
  <c r="Z85" i="13"/>
  <c r="Z81" i="13"/>
  <c r="Z77" i="13"/>
  <c r="Z73" i="13"/>
  <c r="Z69" i="13"/>
  <c r="Z65" i="13"/>
  <c r="Z61" i="13"/>
  <c r="Z57" i="13"/>
  <c r="Z53" i="13"/>
  <c r="Z49" i="13"/>
  <c r="Z45" i="13"/>
  <c r="Z41" i="13"/>
  <c r="Z37" i="13"/>
  <c r="Z33" i="13"/>
  <c r="Z29" i="13"/>
  <c r="K836" i="13"/>
  <c r="K1048" i="13"/>
  <c r="Z28" i="13"/>
  <c r="K849" i="13"/>
  <c r="K614" i="13"/>
  <c r="K678" i="13"/>
  <c r="Z127" i="13"/>
  <c r="Z123" i="13"/>
  <c r="Z119" i="13"/>
  <c r="Z115" i="13"/>
  <c r="Z111" i="13"/>
  <c r="Z107" i="13"/>
  <c r="Z103" i="13"/>
  <c r="Z99" i="13"/>
  <c r="Z95" i="13"/>
  <c r="Z91" i="13"/>
  <c r="Z87" i="13"/>
  <c r="Z83" i="13"/>
  <c r="Z79" i="13"/>
  <c r="Z75" i="13"/>
  <c r="Z71" i="13"/>
  <c r="Z67" i="13"/>
  <c r="Z63" i="13"/>
  <c r="Z59" i="13"/>
  <c r="Z55" i="13"/>
  <c r="Z51" i="13"/>
  <c r="Z47" i="13"/>
  <c r="Z43" i="13"/>
  <c r="Z39" i="13"/>
  <c r="Z35" i="13"/>
  <c r="Z31" i="13"/>
  <c r="K488" i="13"/>
  <c r="K375" i="13"/>
  <c r="K400" i="13"/>
  <c r="K703" i="13"/>
  <c r="K704" i="13"/>
  <c r="K916" i="13"/>
  <c r="K915" i="13"/>
  <c r="K847" i="13"/>
  <c r="K848" i="13"/>
  <c r="K1020" i="13"/>
  <c r="K725" i="13"/>
  <c r="K724" i="13"/>
  <c r="K800" i="13"/>
  <c r="K801" i="13"/>
  <c r="K834" i="13"/>
  <c r="K835" i="13"/>
  <c r="K537" i="13"/>
  <c r="K538" i="13"/>
  <c r="K506" i="13"/>
  <c r="K697" i="13"/>
  <c r="K698" i="13"/>
  <c r="K670" i="13"/>
  <c r="K671" i="13"/>
  <c r="K693" i="13"/>
  <c r="K694" i="13"/>
  <c r="K378" i="13"/>
  <c r="K989" i="13"/>
  <c r="K904" i="13"/>
  <c r="K903" i="13"/>
  <c r="K677" i="13"/>
  <c r="K676" i="13"/>
  <c r="K932" i="13"/>
  <c r="K933" i="13"/>
  <c r="K499" i="13"/>
  <c r="K498" i="13"/>
  <c r="K566" i="13"/>
  <c r="K644" i="13"/>
  <c r="K645" i="13"/>
  <c r="K351" i="13"/>
  <c r="K350" i="13"/>
  <c r="K337" i="13"/>
  <c r="K374" i="13"/>
  <c r="K1021" i="13"/>
  <c r="K1022" i="13"/>
  <c r="K880" i="13"/>
  <c r="K684" i="13"/>
  <c r="K683" i="13"/>
  <c r="K937" i="13"/>
  <c r="K889" i="13"/>
  <c r="K888" i="13"/>
  <c r="K976" i="13"/>
  <c r="K587" i="13"/>
  <c r="K586" i="13"/>
  <c r="K525" i="13"/>
  <c r="K493" i="13"/>
  <c r="K453" i="13"/>
  <c r="K454" i="13"/>
  <c r="K468" i="13"/>
  <c r="K469" i="13"/>
  <c r="K358" i="13"/>
  <c r="K386" i="13"/>
  <c r="K1053" i="13"/>
  <c r="K712" i="13"/>
  <c r="K711" i="13"/>
  <c r="K844" i="13"/>
  <c r="K843" i="13"/>
  <c r="K839" i="13"/>
  <c r="K840" i="13"/>
  <c r="K856" i="13"/>
  <c r="K1028" i="13"/>
  <c r="K1027" i="13"/>
  <c r="K442" i="13"/>
  <c r="K443" i="13"/>
  <c r="K519" i="13"/>
  <c r="K518" i="13"/>
  <c r="K455" i="13"/>
  <c r="K390" i="13"/>
  <c r="K845" i="13"/>
  <c r="K531" i="13"/>
  <c r="K600" i="13"/>
  <c r="K599" i="13"/>
  <c r="K998" i="13"/>
  <c r="K997" i="13"/>
  <c r="K1006" i="13"/>
  <c r="K1005" i="13"/>
  <c r="K334" i="13"/>
  <c r="K364" i="13"/>
  <c r="K363" i="13"/>
  <c r="K555" i="13"/>
  <c r="K575" i="13"/>
  <c r="K623" i="13"/>
  <c r="K624" i="13"/>
  <c r="K756" i="13"/>
  <c r="K747" i="13"/>
  <c r="K748" i="13"/>
  <c r="K615" i="13"/>
  <c r="K1030" i="13"/>
  <c r="K1029" i="13"/>
  <c r="K1038" i="13"/>
  <c r="K1037" i="13"/>
  <c r="K416" i="13"/>
  <c r="K592" i="13"/>
  <c r="K728" i="13"/>
  <c r="K368" i="13"/>
  <c r="K632" i="13"/>
  <c r="K631" i="13"/>
  <c r="K960" i="13"/>
  <c r="K511" i="13"/>
  <c r="K982" i="13"/>
  <c r="K625" i="13"/>
  <c r="K826" i="13"/>
  <c r="K765" i="13"/>
  <c r="K830" i="13"/>
  <c r="K489" i="13"/>
  <c r="K702" i="13"/>
  <c r="K270" i="13"/>
  <c r="K204" i="13"/>
  <c r="E312" i="13"/>
  <c r="J312" i="13"/>
  <c r="I312" i="13" s="1"/>
  <c r="G304" i="13"/>
  <c r="C304" i="13"/>
  <c r="J303" i="13"/>
  <c r="I303" i="13" s="1"/>
  <c r="K303" i="13" s="1"/>
  <c r="J302" i="13"/>
  <c r="I302" i="13" s="1"/>
  <c r="F298" i="13"/>
  <c r="D295" i="13"/>
  <c r="H295" i="13"/>
  <c r="F290" i="13"/>
  <c r="F286" i="13"/>
  <c r="H286" i="13"/>
  <c r="F314" i="13"/>
  <c r="G313" i="13"/>
  <c r="G312" i="13"/>
  <c r="H312" i="13"/>
  <c r="E311" i="13"/>
  <c r="C311" i="13"/>
  <c r="E309" i="13"/>
  <c r="F309" i="13"/>
  <c r="E307" i="13"/>
  <c r="D307" i="13"/>
  <c r="J307" i="13"/>
  <c r="I307" i="13" s="1"/>
  <c r="E306" i="13"/>
  <c r="H306" i="13"/>
  <c r="G305" i="13"/>
  <c r="F305" i="13"/>
  <c r="E304" i="13"/>
  <c r="H304" i="13"/>
  <c r="E303" i="13"/>
  <c r="F303" i="13"/>
  <c r="H303" i="13"/>
  <c r="G302" i="13"/>
  <c r="H302" i="13"/>
  <c r="F300" i="13"/>
  <c r="G298" i="13"/>
  <c r="J300" i="13"/>
  <c r="I300" i="13" s="1"/>
  <c r="C298" i="13"/>
  <c r="J297" i="13"/>
  <c r="I297" i="13" s="1"/>
  <c r="F295" i="13"/>
  <c r="G294" i="13"/>
  <c r="H294" i="13"/>
  <c r="E293" i="13"/>
  <c r="F292" i="13"/>
  <c r="H293" i="13"/>
  <c r="G292" i="13"/>
  <c r="J292" i="13"/>
  <c r="I292" i="13" s="1"/>
  <c r="C290" i="13"/>
  <c r="C289" i="13"/>
  <c r="G286" i="13"/>
  <c r="C286" i="13"/>
  <c r="C285" i="13"/>
  <c r="D284" i="13"/>
  <c r="H284" i="13"/>
  <c r="G283" i="13"/>
  <c r="F283" i="13"/>
  <c r="D282" i="13"/>
  <c r="H282" i="13"/>
  <c r="G281" i="13"/>
  <c r="C281" i="13"/>
  <c r="C278" i="13"/>
  <c r="F277" i="13"/>
  <c r="J277" i="13"/>
  <c r="I277" i="13" s="1"/>
  <c r="K277" i="13" s="1"/>
  <c r="G276" i="13"/>
  <c r="G275" i="13"/>
  <c r="C275" i="13"/>
  <c r="G273" i="13"/>
  <c r="F273" i="13"/>
  <c r="G270" i="13"/>
  <c r="E270" i="13"/>
  <c r="F269" i="13"/>
  <c r="G268" i="13"/>
  <c r="C268" i="13"/>
  <c r="H268" i="13"/>
  <c r="C267" i="13"/>
  <c r="E266" i="13"/>
  <c r="G265" i="13"/>
  <c r="C265" i="13"/>
  <c r="J265" i="13"/>
  <c r="I265" i="13" s="1"/>
  <c r="E264" i="13"/>
  <c r="H264" i="13"/>
  <c r="G263" i="13"/>
  <c r="J263" i="13"/>
  <c r="I263" i="13" s="1"/>
  <c r="G261" i="13"/>
  <c r="H261" i="13"/>
  <c r="F259" i="13"/>
  <c r="D259" i="13"/>
  <c r="J259" i="13"/>
  <c r="I259" i="13" s="1"/>
  <c r="E256" i="13"/>
  <c r="J256" i="13"/>
  <c r="I256" i="13" s="1"/>
  <c r="C256" i="13"/>
  <c r="F255" i="13"/>
  <c r="H255" i="13"/>
  <c r="F252" i="13"/>
  <c r="G250" i="13"/>
  <c r="J250" i="13"/>
  <c r="I250" i="13" s="1"/>
  <c r="K250" i="13" s="1"/>
  <c r="C250" i="13"/>
  <c r="G248" i="13"/>
  <c r="J248" i="13"/>
  <c r="I248" i="13" s="1"/>
  <c r="E246" i="13"/>
  <c r="C246" i="13"/>
  <c r="J239" i="13"/>
  <c r="I239" i="13" s="1"/>
  <c r="E239" i="13"/>
  <c r="C234" i="13"/>
  <c r="G226" i="13"/>
  <c r="D226" i="13"/>
  <c r="D219" i="13"/>
  <c r="C219" i="13"/>
  <c r="C229" i="13"/>
  <c r="J229" i="13"/>
  <c r="I229" i="13" s="1"/>
  <c r="G229" i="13"/>
  <c r="J223" i="13"/>
  <c r="I223" i="13" s="1"/>
  <c r="E223" i="13"/>
  <c r="C221" i="13"/>
  <c r="J221" i="13"/>
  <c r="I221" i="13" s="1"/>
  <c r="E221" i="13"/>
  <c r="J212" i="13"/>
  <c r="I212" i="13" s="1"/>
  <c r="E212" i="13"/>
  <c r="C212" i="13"/>
  <c r="G212" i="13"/>
  <c r="H199" i="13"/>
  <c r="G199" i="13"/>
  <c r="J199" i="13"/>
  <c r="I199" i="13" s="1"/>
  <c r="F199" i="13"/>
  <c r="D199" i="13"/>
  <c r="G318" i="13"/>
  <c r="E315" i="13"/>
  <c r="D314" i="13"/>
  <c r="E313" i="13"/>
  <c r="C313" i="13"/>
  <c r="G311" i="13"/>
  <c r="H311" i="13"/>
  <c r="D309" i="13"/>
  <c r="G307" i="13"/>
  <c r="E305" i="13"/>
  <c r="H305" i="13"/>
  <c r="F304" i="13"/>
  <c r="G303" i="13"/>
  <c r="F302" i="13"/>
  <c r="D300" i="13"/>
  <c r="C300" i="13"/>
  <c r="D298" i="13"/>
  <c r="G297" i="13"/>
  <c r="D297" i="13"/>
  <c r="E295" i="13"/>
  <c r="D293" i="13"/>
  <c r="D292" i="13"/>
  <c r="C292" i="13"/>
  <c r="E291" i="13"/>
  <c r="E290" i="13"/>
  <c r="J290" i="13"/>
  <c r="I290" i="13" s="1"/>
  <c r="E289" i="13"/>
  <c r="H289" i="13"/>
  <c r="G288" i="13"/>
  <c r="F288" i="13"/>
  <c r="J286" i="13"/>
  <c r="I286" i="13" s="1"/>
  <c r="G285" i="13"/>
  <c r="G284" i="13"/>
  <c r="E283" i="13"/>
  <c r="G282" i="13"/>
  <c r="C282" i="13"/>
  <c r="E281" i="13"/>
  <c r="G278" i="13"/>
  <c r="D278" i="13"/>
  <c r="F276" i="13"/>
  <c r="D276" i="13"/>
  <c r="H276" i="13"/>
  <c r="D273" i="13"/>
  <c r="J273" i="13"/>
  <c r="I273" i="13" s="1"/>
  <c r="G271" i="13"/>
  <c r="F270" i="13"/>
  <c r="G269" i="13"/>
  <c r="H269" i="13"/>
  <c r="E267" i="13"/>
  <c r="F266" i="13"/>
  <c r="H266" i="13"/>
  <c r="D265" i="13"/>
  <c r="E263" i="13"/>
  <c r="D262" i="13"/>
  <c r="E259" i="13"/>
  <c r="G255" i="13"/>
  <c r="E255" i="13"/>
  <c r="G253" i="13"/>
  <c r="J253" i="13"/>
  <c r="I253" i="13" s="1"/>
  <c r="D252" i="13"/>
  <c r="J252" i="13"/>
  <c r="I252" i="13" s="1"/>
  <c r="F249" i="13"/>
  <c r="F248" i="13"/>
  <c r="J246" i="13"/>
  <c r="I246" i="13" s="1"/>
  <c r="J242" i="13"/>
  <c r="I242" i="13" s="1"/>
  <c r="K242" i="13" s="1"/>
  <c r="C242" i="13"/>
  <c r="F241" i="13"/>
  <c r="G241" i="13"/>
  <c r="D239" i="13"/>
  <c r="E236" i="13"/>
  <c r="H237" i="13"/>
  <c r="E237" i="13"/>
  <c r="E233" i="13"/>
  <c r="G233" i="13"/>
  <c r="F230" i="13"/>
  <c r="E229" i="13"/>
  <c r="J230" i="13"/>
  <c r="I230" i="13" s="1"/>
  <c r="F228" i="13"/>
  <c r="D228" i="13"/>
  <c r="F227" i="13"/>
  <c r="G227" i="13"/>
  <c r="D223" i="13"/>
  <c r="F223" i="13"/>
  <c r="G221" i="13"/>
  <c r="E219" i="13"/>
  <c r="C215" i="13"/>
  <c r="G215" i="13"/>
  <c r="J215" i="13"/>
  <c r="I215" i="13" s="1"/>
  <c r="D215" i="13"/>
  <c r="F212" i="13"/>
  <c r="H212" i="13"/>
  <c r="H211" i="13"/>
  <c r="F211" i="13"/>
  <c r="G211" i="13"/>
  <c r="D211" i="13"/>
  <c r="J202" i="13"/>
  <c r="I202" i="13" s="1"/>
  <c r="D202" i="13"/>
  <c r="C202" i="13"/>
  <c r="G202" i="13"/>
  <c r="C199" i="13"/>
  <c r="D311" i="13"/>
  <c r="E302" i="13"/>
  <c r="G290" i="13"/>
  <c r="D289" i="13"/>
  <c r="E282" i="13"/>
  <c r="E276" i="13"/>
  <c r="E268" i="13"/>
  <c r="F268" i="13"/>
  <c r="G266" i="13"/>
  <c r="G256" i="13"/>
  <c r="D255" i="13"/>
  <c r="E252" i="13"/>
  <c r="C252" i="13"/>
  <c r="E250" i="13"/>
  <c r="E248" i="13"/>
  <c r="G246" i="13"/>
  <c r="F246" i="13"/>
  <c r="D234" i="13"/>
  <c r="E234" i="13"/>
  <c r="C233" i="13"/>
  <c r="F233" i="13"/>
  <c r="H229" i="13"/>
  <c r="C223" i="13"/>
  <c r="D221" i="13"/>
  <c r="F221" i="13"/>
  <c r="J219" i="13"/>
  <c r="I219" i="13" s="1"/>
  <c r="K219" i="13" s="1"/>
  <c r="G219" i="13"/>
  <c r="K181" i="13"/>
  <c r="D189" i="13"/>
  <c r="J189" i="13"/>
  <c r="I189" i="13" s="1"/>
  <c r="K189" i="13" s="1"/>
  <c r="F183" i="13"/>
  <c r="J183" i="13"/>
  <c r="I183" i="13" s="1"/>
  <c r="F181" i="13"/>
  <c r="H181" i="13"/>
  <c r="F175" i="13"/>
  <c r="H175" i="13"/>
  <c r="G172" i="13"/>
  <c r="C172" i="13"/>
  <c r="G170" i="13"/>
  <c r="C170" i="13"/>
  <c r="E166" i="13"/>
  <c r="F163" i="13"/>
  <c r="J163" i="13"/>
  <c r="I163" i="13" s="1"/>
  <c r="G144" i="13"/>
  <c r="C144" i="13"/>
  <c r="F143" i="13"/>
  <c r="J143" i="13"/>
  <c r="I143" i="13" s="1"/>
  <c r="G142" i="13"/>
  <c r="H142" i="13"/>
  <c r="D137" i="13"/>
  <c r="E132" i="13"/>
  <c r="C132" i="13"/>
  <c r="D127" i="13"/>
  <c r="G126" i="13"/>
  <c r="D126" i="13"/>
  <c r="E124" i="13"/>
  <c r="D124" i="13"/>
  <c r="F122" i="13"/>
  <c r="C122" i="13"/>
  <c r="E213" i="13"/>
  <c r="G205" i="13"/>
  <c r="G203" i="13"/>
  <c r="G201" i="13"/>
  <c r="F201" i="13"/>
  <c r="G195" i="13"/>
  <c r="D194" i="13"/>
  <c r="D190" i="13"/>
  <c r="E189" i="13"/>
  <c r="F189" i="13"/>
  <c r="G183" i="13"/>
  <c r="E181" i="13"/>
  <c r="E179" i="13"/>
  <c r="F170" i="13"/>
  <c r="G169" i="13"/>
  <c r="D166" i="13"/>
  <c r="G165" i="13"/>
  <c r="G163" i="13"/>
  <c r="F158" i="13"/>
  <c r="E157" i="13"/>
  <c r="E156" i="13"/>
  <c r="D156" i="13"/>
  <c r="E155" i="13"/>
  <c r="C155" i="13"/>
  <c r="F149" i="13"/>
  <c r="F144" i="13"/>
  <c r="E143" i="13"/>
  <c r="F137" i="13"/>
  <c r="G132" i="13"/>
  <c r="G127" i="13"/>
  <c r="F125" i="13"/>
  <c r="D125" i="13"/>
  <c r="G122" i="13"/>
  <c r="G189" i="13"/>
  <c r="G181" i="13"/>
  <c r="E175" i="13"/>
  <c r="K1009" i="13"/>
  <c r="K322" i="13"/>
  <c r="K371" i="13"/>
  <c r="K523" i="13"/>
  <c r="K583" i="13"/>
  <c r="K640" i="13"/>
  <c r="K680" i="13"/>
  <c r="K679" i="13"/>
  <c r="K720" i="13"/>
  <c r="K772" i="13"/>
  <c r="K852" i="13"/>
  <c r="K1017" i="13"/>
  <c r="K387" i="13"/>
  <c r="K423" i="13"/>
  <c r="K539" i="13"/>
  <c r="K567" i="13"/>
  <c r="K608" i="13"/>
  <c r="K764" i="13"/>
  <c r="K763" i="13"/>
  <c r="K827" i="13"/>
  <c r="K828" i="13"/>
  <c r="K407" i="13"/>
  <c r="K447" i="13"/>
  <c r="K739" i="13"/>
  <c r="K740" i="13"/>
  <c r="K811" i="13"/>
  <c r="K812" i="13"/>
  <c r="K355" i="13"/>
  <c r="K439" i="13"/>
  <c r="K647" i="13"/>
  <c r="K648" i="13"/>
  <c r="K695" i="13"/>
  <c r="K696" i="13"/>
  <c r="K736" i="13"/>
  <c r="K735" i="13"/>
  <c r="K795" i="13"/>
  <c r="K796" i="13"/>
  <c r="K838" i="13"/>
  <c r="K686" i="13"/>
  <c r="K382" i="13" l="1"/>
  <c r="K691" i="13"/>
  <c r="K419" i="13"/>
  <c r="K595" i="13"/>
  <c r="K590" i="13"/>
  <c r="K779" i="13"/>
  <c r="K327" i="13"/>
  <c r="K930" i="13"/>
  <c r="K674" i="13"/>
  <c r="K950" i="13"/>
  <c r="K543" i="13"/>
  <c r="K986" i="13"/>
  <c r="K727" i="13"/>
  <c r="K939" i="13"/>
  <c r="K1018" i="13"/>
  <c r="K887" i="13"/>
  <c r="K606" i="13"/>
  <c r="K638" i="13"/>
  <c r="K430" i="13"/>
  <c r="K487" i="13"/>
  <c r="K494" i="13"/>
  <c r="K770" i="13"/>
  <c r="K463" i="13"/>
  <c r="K579" i="13"/>
  <c r="K1050" i="13"/>
  <c r="K298" i="13"/>
  <c r="K576" i="13"/>
  <c r="K854" i="13"/>
  <c r="K1058" i="13"/>
  <c r="K547" i="13"/>
  <c r="K464" i="13"/>
  <c r="K548" i="13"/>
  <c r="K512" i="13"/>
  <c r="K616" i="13"/>
  <c r="K356" i="13"/>
  <c r="K408" i="13"/>
  <c r="K440" i="13"/>
  <c r="K434" i="13"/>
  <c r="K810" i="13"/>
  <c r="K490" i="13"/>
  <c r="K367" i="13"/>
  <c r="K879" i="13"/>
  <c r="K1034" i="13"/>
  <c r="K719" i="13"/>
  <c r="K1042" i="13"/>
  <c r="K959" i="13"/>
  <c r="K755" i="13"/>
  <c r="K875" i="13"/>
  <c r="K1051" i="13"/>
  <c r="K922" i="13"/>
  <c r="K775" i="13"/>
  <c r="K970" i="13"/>
  <c r="K935" i="13"/>
  <c r="K526" i="13"/>
  <c r="K993" i="13"/>
  <c r="K450" i="13"/>
  <c r="K550" i="13"/>
  <c r="K991" i="13"/>
  <c r="K483" i="13"/>
  <c r="K627" i="13"/>
  <c r="K467" i="13"/>
  <c r="K415" i="13"/>
  <c r="K399" i="13"/>
  <c r="K618" i="13"/>
  <c r="K273" i="13"/>
  <c r="E8" i="13"/>
  <c r="K472" i="13"/>
  <c r="K448" i="13"/>
  <c r="K962" i="13"/>
  <c r="K969" i="13"/>
  <c r="K1026" i="13"/>
  <c r="K1025" i="13"/>
  <c r="K949" i="13"/>
  <c r="K372" i="13"/>
  <c r="K1054" i="13"/>
  <c r="K239" i="13"/>
  <c r="K1059" i="13"/>
  <c r="K286" i="13"/>
  <c r="K621" i="13"/>
  <c r="K564" i="13"/>
  <c r="K480" i="13"/>
  <c r="K156" i="13"/>
  <c r="K226" i="13"/>
  <c r="K213" i="13"/>
  <c r="K183" i="13"/>
  <c r="K613" i="13"/>
  <c r="K508" i="13"/>
  <c r="K585" i="13"/>
  <c r="K1011" i="13"/>
  <c r="K420" i="13"/>
  <c r="K436" i="13"/>
  <c r="K335" i="13"/>
  <c r="K328" i="13"/>
  <c r="K281" i="13"/>
  <c r="K568" i="13"/>
  <c r="K424" i="13"/>
  <c r="K320" i="13"/>
  <c r="K381" i="13"/>
  <c r="K556" i="13"/>
  <c r="K637" i="13"/>
  <c r="K974" i="13"/>
  <c r="K553" i="13"/>
  <c r="K207" i="13"/>
  <c r="K521" i="13"/>
  <c r="K520" i="13"/>
  <c r="K377" i="13"/>
  <c r="K1001" i="13"/>
  <c r="K977" i="13"/>
  <c r="K389" i="13"/>
  <c r="K460" i="13"/>
  <c r="K485" i="13"/>
  <c r="K540" i="13"/>
  <c r="K290" i="13"/>
  <c r="K384" i="13"/>
  <c r="K412" i="13"/>
  <c r="K954" i="13"/>
  <c r="K544" i="13"/>
  <c r="K185" i="13"/>
  <c r="K168" i="13"/>
  <c r="K184" i="13"/>
  <c r="K138" i="13"/>
  <c r="K279" i="13"/>
  <c r="K528" i="13"/>
  <c r="K324" i="13"/>
  <c r="K504" i="13"/>
  <c r="K560" i="13"/>
  <c r="K532" i="13"/>
  <c r="K432" i="13"/>
  <c r="K597" i="13"/>
  <c r="K177" i="13"/>
  <c r="K348" i="13"/>
  <c r="K404" i="13"/>
  <c r="K332" i="13"/>
  <c r="K141" i="13"/>
  <c r="K501" i="13"/>
  <c r="K307" i="13"/>
  <c r="K456" i="13"/>
  <c r="K133" i="13"/>
  <c r="K193" i="13"/>
  <c r="K179" i="13"/>
  <c r="K589" i="13"/>
  <c r="K140" i="13"/>
  <c r="K476" i="13"/>
  <c r="K173" i="13"/>
  <c r="K256" i="13"/>
  <c r="K292" i="13"/>
  <c r="K128" i="13"/>
  <c r="K186" i="13"/>
  <c r="K192" i="13"/>
  <c r="K248" i="13"/>
  <c r="K265" i="13"/>
  <c r="K300" i="13"/>
  <c r="K131" i="13"/>
  <c r="K169" i="13"/>
  <c r="K253" i="13"/>
  <c r="K157" i="13"/>
  <c r="K126" i="13"/>
  <c r="K297" i="13"/>
  <c r="K268" i="13"/>
  <c r="K313" i="13"/>
  <c r="K144" i="13"/>
  <c r="K261" i="13"/>
  <c r="K137" i="13"/>
  <c r="K259" i="13"/>
  <c r="C22" i="13"/>
  <c r="E22" i="13" s="1"/>
  <c r="K166" i="13"/>
  <c r="K200" i="13"/>
  <c r="K312" i="13"/>
  <c r="K170" i="13"/>
  <c r="K171" i="13"/>
  <c r="K134" i="13"/>
  <c r="K163" i="13"/>
  <c r="K257" i="13"/>
  <c r="K314" i="13"/>
  <c r="K124" i="13"/>
  <c r="K284" i="13"/>
  <c r="K187" i="13"/>
  <c r="K260" i="13"/>
  <c r="K234" i="13"/>
  <c r="K135" i="13"/>
  <c r="K240" i="13"/>
  <c r="K310" i="13"/>
  <c r="K308" i="13"/>
  <c r="K148" i="13"/>
  <c r="K167" i="13"/>
  <c r="K121" i="13"/>
  <c r="K122" i="13"/>
  <c r="K175" i="13"/>
  <c r="K158" i="13"/>
  <c r="K315" i="13"/>
  <c r="K127" i="13"/>
  <c r="K154" i="13"/>
  <c r="K191" i="13"/>
  <c r="K176" i="13"/>
  <c r="K147" i="13"/>
  <c r="K274" i="13"/>
  <c r="K194" i="13"/>
  <c r="K230" i="13"/>
  <c r="K155" i="13"/>
  <c r="K145" i="13"/>
  <c r="K295" i="13"/>
  <c r="K293" i="13"/>
  <c r="K216" i="13"/>
  <c r="K246" i="13"/>
  <c r="K123" i="13"/>
  <c r="K275" i="13"/>
  <c r="K149" i="13"/>
  <c r="K150" i="13"/>
  <c r="K202" i="13"/>
  <c r="K217" i="13"/>
  <c r="K309" i="13"/>
  <c r="K244" i="13"/>
  <c r="K136" i="13"/>
  <c r="K178" i="13"/>
  <c r="K210" i="13"/>
  <c r="K231" i="13"/>
  <c r="K605" i="13"/>
  <c r="K164" i="13"/>
  <c r="K232" i="13"/>
  <c r="K235" i="13"/>
  <c r="K294" i="13"/>
  <c r="K317" i="13"/>
  <c r="K267" i="13"/>
  <c r="K225" i="13"/>
  <c r="K146" i="13"/>
  <c r="G21" i="13"/>
  <c r="K199" i="13"/>
  <c r="K221" i="13"/>
  <c r="K263" i="13"/>
  <c r="K233" i="13"/>
  <c r="K161" i="13"/>
  <c r="K165" i="13"/>
  <c r="K316" i="13"/>
  <c r="K130" i="13"/>
  <c r="K132" i="13"/>
  <c r="K206" i="13"/>
  <c r="K125" i="13"/>
  <c r="K197" i="13"/>
  <c r="K280" i="13"/>
  <c r="K305" i="13"/>
  <c r="K196" i="13"/>
  <c r="B23" i="13"/>
  <c r="K714" i="13"/>
  <c r="K809" i="13"/>
  <c r="K198" i="13"/>
  <c r="G22" i="13"/>
  <c r="K129" i="13"/>
  <c r="K224" i="13"/>
  <c r="K143" i="13"/>
  <c r="K302" i="13"/>
  <c r="K252" i="13"/>
  <c r="K142" i="13"/>
  <c r="K228" i="13"/>
  <c r="K229" i="13"/>
  <c r="K258" i="13"/>
  <c r="K238" i="13"/>
  <c r="K201" i="13"/>
  <c r="K264" i="13"/>
  <c r="K245" i="13"/>
  <c r="K262" i="13"/>
  <c r="K272" i="13"/>
  <c r="K289" i="13"/>
  <c r="K162" i="13"/>
  <c r="K211" i="13"/>
  <c r="K212" i="13"/>
  <c r="K218" i="13"/>
  <c r="K220" i="13"/>
  <c r="K249" i="13"/>
  <c r="K296" i="13"/>
  <c r="K241" i="13"/>
  <c r="K247" i="13"/>
  <c r="K182" i="13"/>
  <c r="K222" i="13"/>
  <c r="K223" i="13"/>
  <c r="K306" i="13"/>
  <c r="K299" i="13"/>
  <c r="K251" i="13"/>
  <c r="K214" i="13"/>
  <c r="K215" i="13"/>
  <c r="K188" i="13"/>
  <c r="K311" i="13"/>
  <c r="K276" i="13"/>
  <c r="K301" i="13"/>
  <c r="K255" i="13"/>
  <c r="K291" i="13"/>
  <c r="K285" i="13"/>
  <c r="E15" i="13"/>
  <c r="C14" i="13"/>
  <c r="E14" i="13"/>
  <c r="C15" i="13"/>
  <c r="D22" i="13"/>
  <c r="D20" i="13"/>
  <c r="D21" i="13"/>
  <c r="D18" i="13"/>
  <c r="D19" i="13"/>
  <c r="D23" i="13"/>
  <c r="F20" i="13" l="1"/>
  <c r="F19" i="13"/>
  <c r="F21" i="13"/>
  <c r="F18" i="13"/>
  <c r="E10" i="13"/>
  <c r="AA12" i="13" s="1"/>
  <c r="AA13" i="13" s="1"/>
  <c r="AA14" i="13" s="1"/>
  <c r="H18" i="13"/>
  <c r="J18" i="13" s="1"/>
  <c r="I18" i="13" s="1"/>
  <c r="H19" i="13"/>
  <c r="J19" i="13" s="1"/>
  <c r="I19" i="13" s="1"/>
  <c r="Z12" i="13"/>
  <c r="H20" i="13"/>
  <c r="J20" i="13" s="1"/>
  <c r="I20" i="13" s="1"/>
  <c r="H21" i="13"/>
  <c r="J21" i="13" s="1"/>
  <c r="I21" i="13" s="1"/>
  <c r="H22" i="13"/>
  <c r="J22" i="13" s="1"/>
  <c r="I22" i="13" s="1"/>
  <c r="F22" i="13"/>
  <c r="B24" i="13"/>
  <c r="C23" i="13"/>
  <c r="H23" i="13"/>
  <c r="J23" i="13" s="1"/>
  <c r="I23" i="13" s="1"/>
  <c r="D24" i="13"/>
  <c r="K22" i="13" l="1"/>
  <c r="K21" i="13"/>
  <c r="Z13" i="13"/>
  <c r="AB13" i="13" s="1"/>
  <c r="AB12" i="13"/>
  <c r="M19" i="13"/>
  <c r="K20" i="13"/>
  <c r="K15" i="13"/>
  <c r="E23" i="13"/>
  <c r="G23" i="13"/>
  <c r="B25" i="13"/>
  <c r="C24" i="13"/>
  <c r="H24" i="13"/>
  <c r="J24" i="13" s="1"/>
  <c r="I24" i="13" s="1"/>
  <c r="K23" i="13" s="1"/>
  <c r="F23" i="13"/>
  <c r="D25" i="13"/>
  <c r="AB14" i="13" l="1"/>
  <c r="AF13" i="13" s="1"/>
  <c r="G24" i="13"/>
  <c r="E24" i="13"/>
  <c r="F24" i="13"/>
  <c r="C25" i="13"/>
  <c r="H25" i="13"/>
  <c r="J25" i="13" s="1"/>
  <c r="I25" i="13" s="1"/>
  <c r="K24" i="13" s="1"/>
  <c r="B26" i="13"/>
  <c r="D26" i="13"/>
  <c r="AF12" i="13" l="1"/>
  <c r="AD13" i="13"/>
  <c r="AE13" i="13"/>
  <c r="E25" i="13"/>
  <c r="G25" i="13"/>
  <c r="F25" i="13"/>
  <c r="B27" i="13"/>
  <c r="H26" i="13"/>
  <c r="J26" i="13" s="1"/>
  <c r="I26" i="13" s="1"/>
  <c r="K25" i="13" s="1"/>
  <c r="C26" i="13"/>
  <c r="D27" i="13"/>
  <c r="AE12" i="13" l="1"/>
  <c r="AD12" i="13"/>
  <c r="G26" i="13"/>
  <c r="F26" i="13"/>
  <c r="H27" i="13"/>
  <c r="J27" i="13" s="1"/>
  <c r="I27" i="13" s="1"/>
  <c r="K26" i="13" s="1"/>
  <c r="B28" i="13"/>
  <c r="B29" i="13" s="1"/>
  <c r="C29" i="13" s="1"/>
  <c r="C27" i="13"/>
  <c r="E26" i="13"/>
  <c r="Z16" i="13" l="1"/>
  <c r="Z17" i="13"/>
  <c r="Y19" i="13" s="1"/>
  <c r="H29" i="13"/>
  <c r="J29" i="13" s="1"/>
  <c r="I29" i="13" s="1"/>
  <c r="B30" i="13"/>
  <c r="B31" i="13" s="1"/>
  <c r="C28" i="13"/>
  <c r="H28" i="13"/>
  <c r="J28" i="13" s="1"/>
  <c r="I28" i="13" s="1"/>
  <c r="K27" i="13" s="1"/>
  <c r="F27" i="13"/>
  <c r="G27" i="13"/>
  <c r="E27" i="13"/>
  <c r="D28" i="13"/>
  <c r="D29" i="13"/>
  <c r="E29" i="13" l="1"/>
  <c r="G29" i="13"/>
  <c r="F29" i="13"/>
  <c r="F28" i="13"/>
  <c r="E28" i="13"/>
  <c r="C30" i="13"/>
  <c r="H30" i="13"/>
  <c r="J30" i="13" s="1"/>
  <c r="I30" i="13" s="1"/>
  <c r="K29" i="13" s="1"/>
  <c r="G28" i="13"/>
  <c r="K28" i="13"/>
  <c r="B32" i="13"/>
  <c r="C31" i="13"/>
  <c r="H31" i="13"/>
  <c r="J31" i="13" s="1"/>
  <c r="I31" i="13" s="1"/>
  <c r="D30" i="13"/>
  <c r="D31" i="13"/>
  <c r="F30" i="13" l="1"/>
  <c r="F31" i="13"/>
  <c r="G30" i="13"/>
  <c r="E30" i="13"/>
  <c r="E31" i="13"/>
  <c r="G31" i="13"/>
  <c r="K30" i="13"/>
  <c r="H32" i="13"/>
  <c r="J32" i="13" s="1"/>
  <c r="I32" i="13" s="1"/>
  <c r="C32" i="13"/>
  <c r="B33" i="13"/>
  <c r="D32" i="13"/>
  <c r="G32" i="13" l="1"/>
  <c r="K31" i="13"/>
  <c r="B34" i="13"/>
  <c r="C33" i="13"/>
  <c r="H33" i="13"/>
  <c r="J33" i="13" s="1"/>
  <c r="I33" i="13" s="1"/>
  <c r="F32" i="13"/>
  <c r="E32" i="13"/>
  <c r="D33" i="13"/>
  <c r="F33" i="13" l="1"/>
  <c r="E33" i="13"/>
  <c r="G33" i="13"/>
  <c r="H34" i="13"/>
  <c r="J34" i="13" s="1"/>
  <c r="I34" i="13" s="1"/>
  <c r="C34" i="13"/>
  <c r="B35" i="13"/>
  <c r="K32" i="13"/>
  <c r="D34" i="13"/>
  <c r="F34" i="13" l="1"/>
  <c r="K33" i="13"/>
  <c r="E34" i="13"/>
  <c r="B36" i="13"/>
  <c r="C35" i="13"/>
  <c r="H35" i="13"/>
  <c r="J35" i="13" s="1"/>
  <c r="I35" i="13" s="1"/>
  <c r="G34" i="13"/>
  <c r="D35" i="13"/>
  <c r="E35" i="13" l="1"/>
  <c r="K34" i="13"/>
  <c r="G35" i="13"/>
  <c r="F35" i="13"/>
  <c r="H36" i="13"/>
  <c r="J36" i="13" s="1"/>
  <c r="I36" i="13" s="1"/>
  <c r="B37" i="13"/>
  <c r="C36" i="13"/>
  <c r="D36" i="13"/>
  <c r="F36" i="13" l="1"/>
  <c r="E36" i="13"/>
  <c r="K35" i="13"/>
  <c r="G36" i="13"/>
  <c r="B38" i="13"/>
  <c r="C37" i="13"/>
  <c r="H37" i="13"/>
  <c r="J37" i="13" s="1"/>
  <c r="I37" i="13" s="1"/>
  <c r="D37" i="13"/>
  <c r="E37" i="13" l="1"/>
  <c r="F37" i="13"/>
  <c r="K36" i="13"/>
  <c r="G37" i="13"/>
  <c r="H38" i="13"/>
  <c r="J38" i="13" s="1"/>
  <c r="I38" i="13" s="1"/>
  <c r="B39" i="13"/>
  <c r="C38" i="13"/>
  <c r="F38" i="13" s="1"/>
  <c r="D38" i="13"/>
  <c r="E38" i="13" l="1"/>
  <c r="G38" i="13"/>
  <c r="K37" i="13"/>
  <c r="B40" i="13"/>
  <c r="C39" i="13"/>
  <c r="H39" i="13"/>
  <c r="J39" i="13" s="1"/>
  <c r="I39" i="13" s="1"/>
  <c r="D39" i="13"/>
  <c r="G39" i="13" l="1"/>
  <c r="F39" i="13"/>
  <c r="E39" i="13"/>
  <c r="H40" i="13"/>
  <c r="J40" i="13" s="1"/>
  <c r="I40" i="13" s="1"/>
  <c r="B41" i="13"/>
  <c r="C40" i="13"/>
  <c r="F40" i="13" s="1"/>
  <c r="K38" i="13"/>
  <c r="D40" i="13"/>
  <c r="G40" i="13" l="1"/>
  <c r="H41" i="13"/>
  <c r="J41" i="13" s="1"/>
  <c r="I41" i="13" s="1"/>
  <c r="B42" i="13"/>
  <c r="C41" i="13"/>
  <c r="E40" i="13"/>
  <c r="K39" i="13"/>
  <c r="D41" i="13"/>
  <c r="G41" i="13" l="1"/>
  <c r="F41" i="13"/>
  <c r="K40" i="13"/>
  <c r="H42" i="13"/>
  <c r="J42" i="13" s="1"/>
  <c r="I42" i="13" s="1"/>
  <c r="B43" i="13"/>
  <c r="C42" i="13"/>
  <c r="F42" i="13" s="1"/>
  <c r="E41" i="13"/>
  <c r="D42" i="13"/>
  <c r="K41" i="13" l="1"/>
  <c r="G42" i="13"/>
  <c r="B44" i="13"/>
  <c r="C43" i="13"/>
  <c r="H43" i="13"/>
  <c r="J43" i="13" s="1"/>
  <c r="I43" i="13" s="1"/>
  <c r="E42" i="13"/>
  <c r="D43" i="13"/>
  <c r="G43" i="13" l="1"/>
  <c r="K42" i="13"/>
  <c r="E43" i="13"/>
  <c r="F43" i="13"/>
  <c r="H44" i="13"/>
  <c r="J44" i="13" s="1"/>
  <c r="I44" i="13" s="1"/>
  <c r="B45" i="13"/>
  <c r="C44" i="13"/>
  <c r="D44" i="13"/>
  <c r="G44" i="13" l="1"/>
  <c r="E44" i="13"/>
  <c r="K43" i="13"/>
  <c r="F44" i="13"/>
  <c r="B46" i="13"/>
  <c r="C45" i="13"/>
  <c r="F45" i="13" s="1"/>
  <c r="H45" i="13"/>
  <c r="J45" i="13" s="1"/>
  <c r="I45" i="13" s="1"/>
  <c r="D45" i="13"/>
  <c r="G45" i="13" l="1"/>
  <c r="E45" i="13"/>
  <c r="H46" i="13"/>
  <c r="J46" i="13" s="1"/>
  <c r="I46" i="13" s="1"/>
  <c r="B47" i="13"/>
  <c r="C46" i="13"/>
  <c r="F46" i="13" s="1"/>
  <c r="K44" i="13"/>
  <c r="D46" i="13"/>
  <c r="K45" i="13" l="1"/>
  <c r="E46" i="13"/>
  <c r="H47" i="13"/>
  <c r="J47" i="13" s="1"/>
  <c r="I47" i="13" s="1"/>
  <c r="C47" i="13"/>
  <c r="B48" i="13"/>
  <c r="G46" i="13"/>
  <c r="D47" i="13"/>
  <c r="E47" i="13" l="1"/>
  <c r="F47" i="13"/>
  <c r="G47" i="13"/>
  <c r="H48" i="13"/>
  <c r="J48" i="13" s="1"/>
  <c r="I48" i="13" s="1"/>
  <c r="C48" i="13"/>
  <c r="B49" i="13"/>
  <c r="K46" i="13"/>
  <c r="D48" i="13"/>
  <c r="E48" i="13" l="1"/>
  <c r="G48" i="13"/>
  <c r="F48" i="13"/>
  <c r="B50" i="13"/>
  <c r="H49" i="13"/>
  <c r="J49" i="13" s="1"/>
  <c r="I49" i="13" s="1"/>
  <c r="C49" i="13"/>
  <c r="K47" i="13"/>
  <c r="D49" i="13"/>
  <c r="E49" i="13" l="1"/>
  <c r="K48" i="13"/>
  <c r="H50" i="13"/>
  <c r="J50" i="13" s="1"/>
  <c r="I50" i="13" s="1"/>
  <c r="C50" i="13"/>
  <c r="B51" i="13"/>
  <c r="F49" i="13"/>
  <c r="G49" i="13"/>
  <c r="D50" i="13"/>
  <c r="G50" i="13" l="1"/>
  <c r="E50" i="13"/>
  <c r="F50" i="13"/>
  <c r="K49" i="13"/>
  <c r="B52" i="13"/>
  <c r="C51" i="13"/>
  <c r="F51" i="13" s="1"/>
  <c r="H51" i="13"/>
  <c r="J51" i="13" s="1"/>
  <c r="I51" i="13" s="1"/>
  <c r="D51" i="13"/>
  <c r="E51" i="13" l="1"/>
  <c r="G51" i="13"/>
  <c r="C52" i="13"/>
  <c r="F52" i="13"/>
  <c r="B53" i="13"/>
  <c r="H52" i="13"/>
  <c r="J52" i="13" s="1"/>
  <c r="I52" i="13" s="1"/>
  <c r="K50" i="13"/>
  <c r="D52" i="13"/>
  <c r="G52" i="13" l="1"/>
  <c r="E52" i="13"/>
  <c r="K51" i="13"/>
  <c r="C53" i="13"/>
  <c r="F53" i="13" s="1"/>
  <c r="B54" i="13"/>
  <c r="H53" i="13"/>
  <c r="J53" i="13" s="1"/>
  <c r="I53" i="13" s="1"/>
  <c r="D53" i="13"/>
  <c r="E53" i="13" l="1"/>
  <c r="G53" i="13"/>
  <c r="K52" i="13"/>
  <c r="B55" i="13"/>
  <c r="C54" i="13"/>
  <c r="F54" i="13" s="1"/>
  <c r="H54" i="13"/>
  <c r="J54" i="13" s="1"/>
  <c r="I54" i="13" s="1"/>
  <c r="D54" i="13"/>
  <c r="G54" i="13" l="1"/>
  <c r="E54" i="13"/>
  <c r="K53" i="13"/>
  <c r="B56" i="13"/>
  <c r="H55" i="13"/>
  <c r="J55" i="13" s="1"/>
  <c r="I55" i="13" s="1"/>
  <c r="C55" i="13"/>
  <c r="F55" i="13" s="1"/>
  <c r="D55" i="13"/>
  <c r="E55" i="13" l="1"/>
  <c r="G55" i="13"/>
  <c r="B57" i="13"/>
  <c r="C56" i="13"/>
  <c r="F56" i="13" s="1"/>
  <c r="H56" i="13"/>
  <c r="J56" i="13" s="1"/>
  <c r="I56" i="13" s="1"/>
  <c r="K54" i="13"/>
  <c r="D56" i="13"/>
  <c r="G56" i="13" l="1"/>
  <c r="E56" i="13"/>
  <c r="K55" i="13"/>
  <c r="B58" i="13"/>
  <c r="C57" i="13"/>
  <c r="F57" i="13" s="1"/>
  <c r="H57" i="13"/>
  <c r="J57" i="13" s="1"/>
  <c r="I57" i="13" s="1"/>
  <c r="D57" i="13"/>
  <c r="G57" i="13" l="1"/>
  <c r="E57" i="13"/>
  <c r="K56" i="13"/>
  <c r="B59" i="13"/>
  <c r="C58" i="13"/>
  <c r="F58" i="13" s="1"/>
  <c r="H58" i="13"/>
  <c r="J58" i="13" s="1"/>
  <c r="I58" i="13" s="1"/>
  <c r="D58" i="13"/>
  <c r="E58" i="13" l="1"/>
  <c r="G58" i="13"/>
  <c r="B60" i="13"/>
  <c r="C59" i="13"/>
  <c r="H59" i="13"/>
  <c r="J59" i="13" s="1"/>
  <c r="I59" i="13" s="1"/>
  <c r="F59" i="13"/>
  <c r="K57" i="13"/>
  <c r="D59" i="13"/>
  <c r="E59" i="13" l="1"/>
  <c r="G59" i="13"/>
  <c r="K58" i="13"/>
  <c r="B61" i="13"/>
  <c r="C60" i="13"/>
  <c r="H60" i="13"/>
  <c r="J60" i="13" s="1"/>
  <c r="I60" i="13" s="1"/>
  <c r="F60" i="13"/>
  <c r="D60" i="13"/>
  <c r="G60" i="13" l="1"/>
  <c r="E60" i="13"/>
  <c r="K59" i="13"/>
  <c r="C61" i="13"/>
  <c r="B62" i="13"/>
  <c r="H61" i="13"/>
  <c r="J61" i="13" s="1"/>
  <c r="I61" i="13" s="1"/>
  <c r="F61" i="13"/>
  <c r="D61" i="13"/>
  <c r="E61" i="13" l="1"/>
  <c r="G61" i="13"/>
  <c r="K60" i="13"/>
  <c r="H62" i="13"/>
  <c r="J62" i="13" s="1"/>
  <c r="I62" i="13" s="1"/>
  <c r="C62" i="13"/>
  <c r="F62" i="13" s="1"/>
  <c r="B63" i="13"/>
  <c r="D62" i="13"/>
  <c r="G62" i="13" l="1"/>
  <c r="E62" i="13"/>
  <c r="K61" i="13"/>
  <c r="B64" i="13"/>
  <c r="H63" i="13"/>
  <c r="J63" i="13" s="1"/>
  <c r="I63" i="13" s="1"/>
  <c r="C63" i="13"/>
  <c r="F63" i="13" s="1"/>
  <c r="D63" i="13"/>
  <c r="G63" i="13" l="1"/>
  <c r="E63" i="13"/>
  <c r="H64" i="13"/>
  <c r="J64" i="13" s="1"/>
  <c r="I64" i="13" s="1"/>
  <c r="B65" i="13"/>
  <c r="C64" i="13"/>
  <c r="F64" i="13" s="1"/>
  <c r="K62" i="13"/>
  <c r="D64" i="13"/>
  <c r="E64" i="13" l="1"/>
  <c r="H65" i="13"/>
  <c r="J65" i="13" s="1"/>
  <c r="I65" i="13" s="1"/>
  <c r="C65" i="13"/>
  <c r="B66" i="13"/>
  <c r="G64" i="13"/>
  <c r="K63" i="13"/>
  <c r="D65" i="13"/>
  <c r="G65" i="13" l="1"/>
  <c r="F65" i="13"/>
  <c r="H66" i="13"/>
  <c r="J66" i="13" s="1"/>
  <c r="I66" i="13" s="1"/>
  <c r="C66" i="13"/>
  <c r="B67" i="13"/>
  <c r="K64" i="13"/>
  <c r="E65" i="13"/>
  <c r="D66" i="13"/>
  <c r="G66" i="13" l="1"/>
  <c r="K65" i="13"/>
  <c r="E66" i="13"/>
  <c r="F66" i="13"/>
  <c r="B68" i="13"/>
  <c r="C67" i="13"/>
  <c r="F67" i="13" s="1"/>
  <c r="H67" i="13"/>
  <c r="J67" i="13" s="1"/>
  <c r="I67" i="13" s="1"/>
  <c r="D67" i="13"/>
  <c r="E67" i="13" l="1"/>
  <c r="K66" i="13"/>
  <c r="G67" i="13"/>
  <c r="B69" i="13"/>
  <c r="C68" i="13"/>
  <c r="H68" i="13"/>
  <c r="J68" i="13" s="1"/>
  <c r="I68" i="13" s="1"/>
  <c r="F68" i="13"/>
  <c r="D68" i="13"/>
  <c r="E68" i="13" l="1"/>
  <c r="G68" i="13"/>
  <c r="C69" i="13"/>
  <c r="B70" i="13"/>
  <c r="H69" i="13"/>
  <c r="J69" i="13" s="1"/>
  <c r="I69" i="13" s="1"/>
  <c r="K67" i="13"/>
  <c r="D69" i="13"/>
  <c r="E69" i="13" l="1"/>
  <c r="G69" i="13"/>
  <c r="K68" i="13"/>
  <c r="F69" i="13"/>
  <c r="B71" i="13"/>
  <c r="C70" i="13"/>
  <c r="F70" i="13" s="1"/>
  <c r="H70" i="13"/>
  <c r="J70" i="13" s="1"/>
  <c r="I70" i="13" s="1"/>
  <c r="D70" i="13"/>
  <c r="E70" i="13" l="1"/>
  <c r="G70" i="13"/>
  <c r="K69" i="13"/>
  <c r="B72" i="13"/>
  <c r="C71" i="13"/>
  <c r="F71" i="13" s="1"/>
  <c r="H71" i="13"/>
  <c r="J71" i="13" s="1"/>
  <c r="I71" i="13" s="1"/>
  <c r="D71" i="13"/>
  <c r="G71" i="13" l="1"/>
  <c r="E71" i="13"/>
  <c r="K70" i="13"/>
  <c r="B73" i="13"/>
  <c r="C72" i="13"/>
  <c r="H72" i="13"/>
  <c r="J72" i="13" s="1"/>
  <c r="I72" i="13" s="1"/>
  <c r="D72" i="13"/>
  <c r="G72" i="13" l="1"/>
  <c r="F72" i="13"/>
  <c r="K71" i="13"/>
  <c r="E72" i="13"/>
  <c r="B74" i="13"/>
  <c r="C73" i="13"/>
  <c r="H73" i="13"/>
  <c r="J73" i="13" s="1"/>
  <c r="I73" i="13" s="1"/>
  <c r="F73" i="13"/>
  <c r="D73" i="13"/>
  <c r="E73" i="13" l="1"/>
  <c r="G73" i="13"/>
  <c r="K72" i="13"/>
  <c r="H74" i="13"/>
  <c r="J74" i="13" s="1"/>
  <c r="I74" i="13" s="1"/>
  <c r="B75" i="13"/>
  <c r="C74" i="13"/>
  <c r="F74" i="13" s="1"/>
  <c r="D74" i="13"/>
  <c r="E74" i="13" l="1"/>
  <c r="G74" i="13"/>
  <c r="K73" i="13"/>
  <c r="B76" i="13"/>
  <c r="C75" i="13"/>
  <c r="F75" i="13"/>
  <c r="H75" i="13"/>
  <c r="J75" i="13" s="1"/>
  <c r="I75" i="13" s="1"/>
  <c r="D75" i="13"/>
  <c r="E75" i="13" l="1"/>
  <c r="G75" i="13"/>
  <c r="K74" i="13"/>
  <c r="H76" i="13"/>
  <c r="J76" i="13" s="1"/>
  <c r="I76" i="13" s="1"/>
  <c r="B77" i="13"/>
  <c r="C76" i="13"/>
  <c r="F76" i="13"/>
  <c r="D76" i="13"/>
  <c r="E76" i="13" l="1"/>
  <c r="G76" i="13"/>
  <c r="K75" i="13"/>
  <c r="B78" i="13"/>
  <c r="C77" i="13"/>
  <c r="F77" i="13"/>
  <c r="H77" i="13"/>
  <c r="J77" i="13" s="1"/>
  <c r="I77" i="13" s="1"/>
  <c r="D77" i="13"/>
  <c r="G77" i="13" l="1"/>
  <c r="E77" i="13"/>
  <c r="K76" i="13"/>
  <c r="B79" i="13"/>
  <c r="H78" i="13"/>
  <c r="J78" i="13" s="1"/>
  <c r="I78" i="13" s="1"/>
  <c r="C78" i="13"/>
  <c r="F78" i="13" s="1"/>
  <c r="D78" i="13"/>
  <c r="G78" i="13" l="1"/>
  <c r="E78" i="13"/>
  <c r="K77" i="13"/>
  <c r="B80" i="13"/>
  <c r="C79" i="13"/>
  <c r="H79" i="13"/>
  <c r="J79" i="13" s="1"/>
  <c r="I79" i="13" s="1"/>
  <c r="D79" i="13"/>
  <c r="G79" i="13" l="1"/>
  <c r="E79" i="13"/>
  <c r="F79" i="13"/>
  <c r="K78" i="13"/>
  <c r="H80" i="13"/>
  <c r="J80" i="13" s="1"/>
  <c r="I80" i="13" s="1"/>
  <c r="B81" i="13"/>
  <c r="C80" i="13"/>
  <c r="D80" i="13"/>
  <c r="E80" i="13" l="1"/>
  <c r="G80" i="13"/>
  <c r="F80" i="13"/>
  <c r="K79" i="13"/>
  <c r="B82" i="13"/>
  <c r="C81" i="13"/>
  <c r="H81" i="13"/>
  <c r="J81" i="13" s="1"/>
  <c r="I81" i="13" s="1"/>
  <c r="D81" i="13"/>
  <c r="E81" i="13" l="1"/>
  <c r="G81" i="13"/>
  <c r="F81" i="13"/>
  <c r="K80" i="13"/>
  <c r="H82" i="13"/>
  <c r="J82" i="13" s="1"/>
  <c r="I82" i="13" s="1"/>
  <c r="B83" i="13"/>
  <c r="C82" i="13"/>
  <c r="F82" i="13" s="1"/>
  <c r="D82" i="13"/>
  <c r="K81" i="13" l="1"/>
  <c r="H83" i="13"/>
  <c r="J83" i="13" s="1"/>
  <c r="I83" i="13" s="1"/>
  <c r="C83" i="13"/>
  <c r="B84" i="13"/>
  <c r="E82" i="13"/>
  <c r="G82" i="13"/>
  <c r="D83" i="13"/>
  <c r="G83" i="13" l="1"/>
  <c r="K82" i="13"/>
  <c r="B85" i="13"/>
  <c r="C84" i="13"/>
  <c r="F84" i="13" s="1"/>
  <c r="H84" i="13"/>
  <c r="J84" i="13" s="1"/>
  <c r="I84" i="13" s="1"/>
  <c r="F83" i="13"/>
  <c r="E83" i="13"/>
  <c r="D84" i="13"/>
  <c r="E84" i="13" l="1"/>
  <c r="K83" i="13"/>
  <c r="G84" i="13"/>
  <c r="B86" i="13"/>
  <c r="C85" i="13"/>
  <c r="F85" i="13" s="1"/>
  <c r="H85" i="13"/>
  <c r="J85" i="13" s="1"/>
  <c r="I85" i="13" s="1"/>
  <c r="D85" i="13"/>
  <c r="E85" i="13" l="1"/>
  <c r="G85" i="13"/>
  <c r="K84" i="13"/>
  <c r="H86" i="13"/>
  <c r="J86" i="13" s="1"/>
  <c r="I86" i="13" s="1"/>
  <c r="B87" i="13"/>
  <c r="C86" i="13"/>
  <c r="D86" i="13"/>
  <c r="G86" i="13" l="1"/>
  <c r="K85" i="13"/>
  <c r="F86" i="13"/>
  <c r="H87" i="13"/>
  <c r="J87" i="13" s="1"/>
  <c r="I87" i="13" s="1"/>
  <c r="B88" i="13"/>
  <c r="C87" i="13"/>
  <c r="F87" i="13" s="1"/>
  <c r="E86" i="13"/>
  <c r="D87" i="13"/>
  <c r="G87" i="13" l="1"/>
  <c r="E87" i="13"/>
  <c r="K86" i="13"/>
  <c r="C88" i="13"/>
  <c r="F88" i="13"/>
  <c r="H88" i="13"/>
  <c r="J88" i="13" s="1"/>
  <c r="I88" i="13" s="1"/>
  <c r="B89" i="13"/>
  <c r="D88" i="13"/>
  <c r="E88" i="13" l="1"/>
  <c r="G88" i="13"/>
  <c r="K87" i="13"/>
  <c r="B90" i="13"/>
  <c r="H89" i="13"/>
  <c r="J89" i="13" s="1"/>
  <c r="I89" i="13" s="1"/>
  <c r="C89" i="13"/>
  <c r="F89" i="13" s="1"/>
  <c r="D89" i="13"/>
  <c r="E89" i="13" l="1"/>
  <c r="G89" i="13"/>
  <c r="K88" i="13"/>
  <c r="B91" i="13"/>
  <c r="C90" i="13"/>
  <c r="H90" i="13"/>
  <c r="J90" i="13" s="1"/>
  <c r="I90" i="13" s="1"/>
  <c r="D90" i="13"/>
  <c r="K89" i="13" l="1"/>
  <c r="G90" i="13"/>
  <c r="E90" i="13"/>
  <c r="C91" i="13"/>
  <c r="F91" i="13" s="1"/>
  <c r="B92" i="13"/>
  <c r="H91" i="13"/>
  <c r="J91" i="13" s="1"/>
  <c r="I91" i="13" s="1"/>
  <c r="F90" i="13"/>
  <c r="D91" i="13"/>
  <c r="E91" i="13" l="1"/>
  <c r="G91" i="13"/>
  <c r="K90" i="13"/>
  <c r="B93" i="13"/>
  <c r="C92" i="13"/>
  <c r="F92" i="13" s="1"/>
  <c r="H92" i="13"/>
  <c r="J92" i="13" s="1"/>
  <c r="I92" i="13" s="1"/>
  <c r="D92" i="13"/>
  <c r="E92" i="13" l="1"/>
  <c r="K91" i="13"/>
  <c r="H93" i="13"/>
  <c r="J93" i="13" s="1"/>
  <c r="I93" i="13" s="1"/>
  <c r="F93" i="13"/>
  <c r="B94" i="13"/>
  <c r="C93" i="13"/>
  <c r="G92" i="13"/>
  <c r="D93" i="13"/>
  <c r="G93" i="13" l="1"/>
  <c r="E93" i="13"/>
  <c r="H94" i="13"/>
  <c r="J94" i="13" s="1"/>
  <c r="I94" i="13" s="1"/>
  <c r="B95" i="13"/>
  <c r="C94" i="13"/>
  <c r="F94" i="13" s="1"/>
  <c r="K92" i="13"/>
  <c r="D94" i="13"/>
  <c r="E94" i="13" l="1"/>
  <c r="K93" i="13"/>
  <c r="C95" i="13"/>
  <c r="F95" i="13" s="1"/>
  <c r="B96" i="13"/>
  <c r="H95" i="13"/>
  <c r="J95" i="13" s="1"/>
  <c r="I95" i="13" s="1"/>
  <c r="G94" i="13"/>
  <c r="D95" i="13"/>
  <c r="E95" i="13" l="1"/>
  <c r="G95" i="13"/>
  <c r="K94" i="13"/>
  <c r="H96" i="13"/>
  <c r="J96" i="13" s="1"/>
  <c r="I96" i="13" s="1"/>
  <c r="K95" i="13" s="1"/>
  <c r="C96" i="13"/>
  <c r="B97" i="13"/>
  <c r="D96" i="13"/>
  <c r="E96" i="13" l="1"/>
  <c r="G96" i="13"/>
  <c r="C97" i="13"/>
  <c r="F97" i="13"/>
  <c r="B98" i="13"/>
  <c r="H97" i="13"/>
  <c r="J97" i="13" s="1"/>
  <c r="I97" i="13" s="1"/>
  <c r="F96" i="13"/>
  <c r="D97" i="13"/>
  <c r="E97" i="13" l="1"/>
  <c r="G97" i="13"/>
  <c r="K96" i="13"/>
  <c r="B99" i="13"/>
  <c r="C98" i="13"/>
  <c r="F98" i="13" s="1"/>
  <c r="H98" i="13"/>
  <c r="J98" i="13" s="1"/>
  <c r="I98" i="13" s="1"/>
  <c r="D98" i="13"/>
  <c r="K97" i="13" l="1"/>
  <c r="E98" i="13"/>
  <c r="G98" i="13"/>
  <c r="C99" i="13"/>
  <c r="B100" i="13"/>
  <c r="H99" i="13"/>
  <c r="J99" i="13" s="1"/>
  <c r="I99" i="13" s="1"/>
  <c r="F99" i="13"/>
  <c r="D99" i="13"/>
  <c r="G99" i="13" l="1"/>
  <c r="E99" i="13"/>
  <c r="K98" i="13"/>
  <c r="B101" i="13"/>
  <c r="H100" i="13"/>
  <c r="J100" i="13" s="1"/>
  <c r="I100" i="13" s="1"/>
  <c r="C100" i="13"/>
  <c r="F100" i="13" s="1"/>
  <c r="D100" i="13"/>
  <c r="G100" i="13" l="1"/>
  <c r="E100" i="13"/>
  <c r="K99" i="13"/>
  <c r="B102" i="13"/>
  <c r="C101" i="13"/>
  <c r="F101" i="13" s="1"/>
  <c r="H101" i="13"/>
  <c r="J101" i="13" s="1"/>
  <c r="I101" i="13" s="1"/>
  <c r="D101" i="13"/>
  <c r="E101" i="13" l="1"/>
  <c r="G101" i="13"/>
  <c r="K100" i="13"/>
  <c r="H102" i="13"/>
  <c r="J102" i="13" s="1"/>
  <c r="I102" i="13" s="1"/>
  <c r="B103" i="13"/>
  <c r="C102" i="13"/>
  <c r="D102" i="13"/>
  <c r="G102" i="13" l="1"/>
  <c r="K101" i="13"/>
  <c r="F102" i="13"/>
  <c r="C103" i="13"/>
  <c r="F103" i="13"/>
  <c r="B104" i="13"/>
  <c r="H103" i="13"/>
  <c r="J103" i="13" s="1"/>
  <c r="I103" i="13" s="1"/>
  <c r="E102" i="13"/>
  <c r="D103" i="13"/>
  <c r="G103" i="13" l="1"/>
  <c r="E103" i="13"/>
  <c r="K102" i="13"/>
  <c r="H104" i="13"/>
  <c r="J104" i="13" s="1"/>
  <c r="I104" i="13" s="1"/>
  <c r="F104" i="13"/>
  <c r="C104" i="13"/>
  <c r="B105" i="13"/>
  <c r="D104" i="13"/>
  <c r="G104" i="13" l="1"/>
  <c r="K103" i="13"/>
  <c r="E104" i="13"/>
  <c r="C105" i="13"/>
  <c r="F105" i="13" s="1"/>
  <c r="B106" i="13"/>
  <c r="H105" i="13"/>
  <c r="J105" i="13" s="1"/>
  <c r="I105" i="13" s="1"/>
  <c r="D105" i="13"/>
  <c r="G105" i="13" l="1"/>
  <c r="E105" i="13"/>
  <c r="K104" i="13"/>
  <c r="B107" i="13"/>
  <c r="C106" i="13"/>
  <c r="H106" i="13"/>
  <c r="J106" i="13" s="1"/>
  <c r="I106" i="13" s="1"/>
  <c r="D106" i="13"/>
  <c r="G106" i="13" l="1"/>
  <c r="K105" i="13"/>
  <c r="E106" i="13"/>
  <c r="B108" i="13"/>
  <c r="H107" i="13"/>
  <c r="J107" i="13" s="1"/>
  <c r="I107" i="13" s="1"/>
  <c r="C107" i="13"/>
  <c r="F106" i="13"/>
  <c r="D107" i="13"/>
  <c r="E107" i="13" l="1"/>
  <c r="K106" i="13"/>
  <c r="G107" i="13"/>
  <c r="F107" i="13"/>
  <c r="H108" i="13"/>
  <c r="J108" i="13" s="1"/>
  <c r="I108" i="13" s="1"/>
  <c r="C108" i="13"/>
  <c r="B109" i="13"/>
  <c r="D108" i="13"/>
  <c r="E108" i="13" l="1"/>
  <c r="K107" i="13"/>
  <c r="B110" i="13"/>
  <c r="C109" i="13"/>
  <c r="F109" i="13"/>
  <c r="H109" i="13"/>
  <c r="J109" i="13" s="1"/>
  <c r="I109" i="13" s="1"/>
  <c r="F108" i="13"/>
  <c r="G108" i="13"/>
  <c r="D109" i="13"/>
  <c r="E109" i="13" l="1"/>
  <c r="G109" i="13"/>
  <c r="K108" i="13"/>
  <c r="H110" i="13"/>
  <c r="J110" i="13" s="1"/>
  <c r="I110" i="13" s="1"/>
  <c r="F110" i="13"/>
  <c r="B111" i="13"/>
  <c r="C110" i="13"/>
  <c r="D110" i="13"/>
  <c r="E110" i="13" l="1"/>
  <c r="G110" i="13"/>
  <c r="K109" i="13"/>
  <c r="C111" i="13"/>
  <c r="F111" i="13" s="1"/>
  <c r="B112" i="13"/>
  <c r="H111" i="13"/>
  <c r="J111" i="13" s="1"/>
  <c r="I111" i="13" s="1"/>
  <c r="D111" i="13"/>
  <c r="G111" i="13" l="1"/>
  <c r="E111" i="13"/>
  <c r="K110" i="13"/>
  <c r="B113" i="13"/>
  <c r="C112" i="13"/>
  <c r="H112" i="13"/>
  <c r="J112" i="13" s="1"/>
  <c r="I112" i="13" s="1"/>
  <c r="F112" i="13"/>
  <c r="D112" i="13"/>
  <c r="G112" i="13" l="1"/>
  <c r="E112" i="13"/>
  <c r="K111" i="13"/>
  <c r="B114" i="13"/>
  <c r="H113" i="13"/>
  <c r="J113" i="13" s="1"/>
  <c r="I113" i="13" s="1"/>
  <c r="K112" i="13" s="1"/>
  <c r="F113" i="13"/>
  <c r="C113" i="13"/>
  <c r="D113" i="13"/>
  <c r="E113" i="13" l="1"/>
  <c r="G113" i="13"/>
  <c r="H114" i="13"/>
  <c r="J114" i="13" s="1"/>
  <c r="I114" i="13" s="1"/>
  <c r="K113" i="13" s="1"/>
  <c r="B115" i="13"/>
  <c r="C114" i="13"/>
  <c r="D114" i="13"/>
  <c r="E114" i="13" l="1"/>
  <c r="B116" i="13"/>
  <c r="C115" i="13"/>
  <c r="F115" i="13" s="1"/>
  <c r="H115" i="13"/>
  <c r="J115" i="13" s="1"/>
  <c r="I115" i="13" s="1"/>
  <c r="G114" i="13"/>
  <c r="F114" i="13"/>
  <c r="D115" i="13"/>
  <c r="G115" i="13" l="1"/>
  <c r="K114" i="13"/>
  <c r="E115" i="13"/>
  <c r="H116" i="13"/>
  <c r="J116" i="13" s="1"/>
  <c r="I116" i="13" s="1"/>
  <c r="B117" i="13"/>
  <c r="C116" i="13"/>
  <c r="D116" i="13"/>
  <c r="K115" i="13" l="1"/>
  <c r="E116" i="13"/>
  <c r="F116" i="13"/>
  <c r="G116" i="13"/>
  <c r="B118" i="13"/>
  <c r="C117" i="13"/>
  <c r="H117" i="13"/>
  <c r="J117" i="13" s="1"/>
  <c r="I117" i="13" s="1"/>
  <c r="F117" i="13"/>
  <c r="D117" i="13"/>
  <c r="K116" i="13" l="1"/>
  <c r="G117" i="13"/>
  <c r="H118" i="13"/>
  <c r="J118" i="13" s="1"/>
  <c r="I118" i="13" s="1"/>
  <c r="K118" i="13" s="1"/>
  <c r="C118" i="13"/>
  <c r="F118" i="13"/>
  <c r="E13" i="13" s="1"/>
  <c r="E117" i="13"/>
  <c r="D118" i="13"/>
  <c r="L8" i="13" l="1"/>
  <c r="L12" i="13"/>
  <c r="E118" i="13"/>
  <c r="E12" i="13" s="1"/>
  <c r="G118" i="13"/>
  <c r="E11" i="13" s="1"/>
  <c r="K117" i="13"/>
</calcChain>
</file>

<file path=xl/sharedStrings.xml><?xml version="1.0" encoding="utf-8"?>
<sst xmlns="http://schemas.openxmlformats.org/spreadsheetml/2006/main" count="64" uniqueCount="52">
  <si>
    <t>P(X=x|n,p)</t>
  </si>
  <si>
    <t>x</t>
  </si>
  <si>
    <t>Chisq</t>
  </si>
  <si>
    <t>Is the deviation from the mean is due to chance alone</t>
  </si>
  <si>
    <t>H0</t>
  </si>
  <si>
    <t>H1</t>
  </si>
  <si>
    <t>The deviation from the mean is most likely due to something else</t>
  </si>
  <si>
    <t>Passing Mark:</t>
  </si>
  <si>
    <t>Passing Grade: (%)</t>
  </si>
  <si>
    <t>y</t>
  </si>
  <si>
    <t># MCQ Questions:</t>
  </si>
  <si>
    <t># Questions Student Knows:</t>
  </si>
  <si>
    <t># Choices/MCQ Question:</t>
  </si>
  <si>
    <t>Student Mark (%)</t>
  </si>
  <si>
    <t>Type I Error</t>
  </si>
  <si>
    <t>Pass Rate</t>
  </si>
  <si>
    <t>Total</t>
  </si>
  <si>
    <t>Expected Frequencies</t>
  </si>
  <si>
    <t>p-val</t>
  </si>
  <si>
    <t>Observed Frequencies</t>
  </si>
  <si>
    <t>Random</t>
  </si>
  <si>
    <t>Observed</t>
  </si>
  <si>
    <t>Correct</t>
  </si>
  <si>
    <t>Incorrect</t>
  </si>
  <si>
    <t>Source: http://www.biostathandbook.com/chiind.html</t>
  </si>
  <si>
    <t>Actual Mark Line:</t>
  </si>
  <si>
    <t>Most frequently observed mark:</t>
  </si>
  <si>
    <t>Probability of Student Marks</t>
  </si>
  <si>
    <t>P(PASS):</t>
  </si>
  <si>
    <t>Most Likely</t>
  </si>
  <si>
    <t>n:</t>
  </si>
  <si>
    <t>Educated Guessing Probability Calculation:</t>
  </si>
  <si>
    <t>Probability Graph Pass line:</t>
  </si>
  <si>
    <t>Horiz Pass line:</t>
  </si>
  <si>
    <t>Vertical Pass Line:</t>
  </si>
  <si>
    <t>% Questions Student Knows:</t>
  </si>
  <si>
    <t>MCQ Probability Graph</t>
  </si>
  <si>
    <t>(competent student fails)</t>
  </si>
  <si>
    <t>(non-competent student passes)</t>
  </si>
  <si>
    <t>Type II Error</t>
  </si>
  <si>
    <r>
      <t>P(Answering known question Incorrectly),</t>
    </r>
    <r>
      <rPr>
        <b/>
        <sz val="12"/>
        <color theme="1"/>
        <rFont val="Calibri"/>
        <family val="2"/>
        <scheme val="minor"/>
      </rPr>
      <t xml:space="preserve"> </t>
    </r>
    <r>
      <rPr>
        <b/>
        <sz val="12"/>
        <color theme="1"/>
        <rFont val="Symbol"/>
        <family val="1"/>
        <charset val="2"/>
      </rPr>
      <t>b</t>
    </r>
    <r>
      <rPr>
        <b/>
        <sz val="12"/>
        <color theme="1"/>
        <rFont val="Calibri"/>
        <family val="2"/>
        <scheme val="minor"/>
      </rPr>
      <t>:</t>
    </r>
  </si>
  <si>
    <r>
      <t xml:space="preserve">P(Answering unknown question correctly), </t>
    </r>
    <r>
      <rPr>
        <b/>
        <sz val="12"/>
        <color theme="1"/>
        <rFont val="Calibri"/>
        <family val="2"/>
        <scheme val="minor"/>
      </rPr>
      <t>p:</t>
    </r>
  </si>
  <si>
    <t>X-vals for red zone</t>
  </si>
  <si>
    <t>Y-vals for red zone</t>
  </si>
  <si>
    <r>
      <t>LK</t>
    </r>
    <r>
      <rPr>
        <b/>
        <vertAlign val="subscript"/>
        <sz val="12"/>
        <color theme="1"/>
        <rFont val="Symbol"/>
        <family val="1"/>
        <charset val="2"/>
      </rPr>
      <t>a</t>
    </r>
    <r>
      <rPr>
        <b/>
        <vertAlign val="subscript"/>
        <sz val="12"/>
        <color theme="1"/>
        <rFont val="Calibri"/>
        <family val="2"/>
        <scheme val="minor"/>
      </rPr>
      <t>&lt;5%</t>
    </r>
    <r>
      <rPr>
        <b/>
        <sz val="12"/>
        <color theme="1"/>
        <rFont val="Calibri"/>
        <family val="2"/>
        <scheme val="minor"/>
      </rPr>
      <t>:</t>
    </r>
  </si>
  <si>
    <r>
      <t>LK</t>
    </r>
    <r>
      <rPr>
        <b/>
        <vertAlign val="subscript"/>
        <sz val="12"/>
        <color theme="1"/>
        <rFont val="Symbol"/>
        <family val="1"/>
        <charset val="2"/>
      </rPr>
      <t>a</t>
    </r>
    <r>
      <rPr>
        <b/>
        <vertAlign val="subscript"/>
        <sz val="12"/>
        <color theme="1"/>
        <rFont val="Calibri"/>
        <family val="2"/>
        <scheme val="minor"/>
      </rPr>
      <t>&lt;50%</t>
    </r>
    <r>
      <rPr>
        <b/>
        <sz val="12"/>
        <color theme="1"/>
        <rFont val="Calibri"/>
        <family val="2"/>
        <scheme val="minor"/>
      </rPr>
      <t>:</t>
    </r>
  </si>
  <si>
    <t>P(False Positive):</t>
  </si>
  <si>
    <t>P(False Negative):</t>
  </si>
  <si>
    <r>
      <t>Pass Mark</t>
    </r>
    <r>
      <rPr>
        <b/>
        <vertAlign val="subscript"/>
        <sz val="12"/>
        <color theme="1"/>
        <rFont val="Symbol"/>
        <family val="1"/>
        <charset val="2"/>
      </rPr>
      <t>a</t>
    </r>
    <r>
      <rPr>
        <b/>
        <vertAlign val="subscript"/>
        <sz val="12"/>
        <color theme="1"/>
        <rFont val="Calibri"/>
        <family val="2"/>
        <scheme val="minor"/>
      </rPr>
      <t>&lt;5%</t>
    </r>
    <r>
      <rPr>
        <b/>
        <sz val="12"/>
        <color theme="1"/>
        <rFont val="Calibri"/>
        <family val="2"/>
        <scheme val="minor"/>
      </rPr>
      <t>:</t>
    </r>
  </si>
  <si>
    <r>
      <t>Pass Mark</t>
    </r>
    <r>
      <rPr>
        <b/>
        <vertAlign val="subscript"/>
        <sz val="12"/>
        <color theme="1"/>
        <rFont val="Symbol"/>
        <family val="1"/>
        <charset val="2"/>
      </rPr>
      <t>a</t>
    </r>
    <r>
      <rPr>
        <b/>
        <vertAlign val="subscript"/>
        <sz val="12"/>
        <color theme="1"/>
        <rFont val="Calibri"/>
        <family val="2"/>
        <scheme val="minor"/>
      </rPr>
      <t>&lt;50%</t>
    </r>
    <r>
      <rPr>
        <b/>
        <sz val="12"/>
        <color theme="1"/>
        <rFont val="Calibri"/>
        <family val="2"/>
        <scheme val="minor"/>
      </rPr>
      <t>:</t>
    </r>
  </si>
  <si>
    <t>Program Author: David Dubins</t>
  </si>
  <si>
    <t>Last modified: 23-Jan-2021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</si>
</sst>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%"/>
  </numFmts>
  <fonts count="1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3366FF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3366F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theme="1"/>
      <name val="Symbol"/>
      <family val="1"/>
      <charset val="2"/>
    </font>
    <font>
      <sz val="12"/>
      <color rgb="FF000000"/>
      <name val="Calibri"/>
      <family val="2"/>
    </font>
    <font>
      <b/>
      <vertAlign val="subscript"/>
      <sz val="12"/>
      <color theme="1"/>
      <name val="Symbol"/>
      <family val="1"/>
      <charset val="2"/>
    </font>
    <font>
      <b/>
      <vertAlign val="subscript"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5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0" borderId="0"/>
  </cellStyleXfs>
  <cellXfs count="42">
    <xf numFmtId="0" fontId="0" fillId="0" borderId="0" xfId="0"/>
    <xf numFmtId="0" fontId="0" fillId="2" borderId="0" xfId="0" applyFill="1"/>
    <xf numFmtId="0" fontId="6" fillId="2" borderId="4" xfId="0" applyFont="1" applyFill="1" applyBorder="1"/>
    <xf numFmtId="0" fontId="3" fillId="2" borderId="0" xfId="0" applyFont="1" applyFill="1" applyBorder="1"/>
    <xf numFmtId="0" fontId="6" fillId="2" borderId="3" xfId="0" applyFont="1" applyFill="1" applyBorder="1"/>
    <xf numFmtId="0" fontId="3" fillId="2" borderId="0" xfId="0" applyFont="1" applyFill="1"/>
    <xf numFmtId="9" fontId="6" fillId="2" borderId="5" xfId="71" applyFont="1" applyFill="1" applyBorder="1"/>
    <xf numFmtId="0" fontId="7" fillId="2" borderId="0" xfId="0" applyFont="1" applyFill="1"/>
    <xf numFmtId="0" fontId="0" fillId="2" borderId="0" xfId="0" applyFill="1" applyAlignment="1">
      <alignment horizontal="left"/>
    </xf>
    <xf numFmtId="0" fontId="0" fillId="3" borderId="6" xfId="0" applyFill="1" applyBorder="1"/>
    <xf numFmtId="0" fontId="0" fillId="3" borderId="2" xfId="0" applyFill="1" applyBorder="1"/>
    <xf numFmtId="0" fontId="0" fillId="3" borderId="7" xfId="0" applyFill="1" applyBorder="1"/>
    <xf numFmtId="0" fontId="0" fillId="3" borderId="12" xfId="0" applyFill="1" applyBorder="1"/>
    <xf numFmtId="0" fontId="0" fillId="3" borderId="9" xfId="0" applyFill="1" applyBorder="1"/>
    <xf numFmtId="0" fontId="0" fillId="3" borderId="8" xfId="0" applyFill="1" applyBorder="1"/>
    <xf numFmtId="164" fontId="7" fillId="2" borderId="0" xfId="71" applyNumberFormat="1" applyFont="1" applyFill="1"/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/>
    <xf numFmtId="0" fontId="0" fillId="4" borderId="7" xfId="0" applyFill="1" applyBorder="1"/>
    <xf numFmtId="0" fontId="0" fillId="5" borderId="1" xfId="0" applyFill="1" applyBorder="1"/>
    <xf numFmtId="0" fontId="12" fillId="2" borderId="0" xfId="0" applyFont="1" applyFill="1"/>
    <xf numFmtId="0" fontId="0" fillId="4" borderId="12" xfId="0" applyFill="1" applyBorder="1"/>
    <xf numFmtId="0" fontId="0" fillId="2" borderId="0" xfId="0" applyFill="1" applyBorder="1"/>
    <xf numFmtId="0" fontId="9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6" fillId="2" borderId="0" xfId="0" applyFont="1" applyFill="1"/>
    <xf numFmtId="0" fontId="3" fillId="6" borderId="10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8" fillId="2" borderId="0" xfId="0" applyNumberFormat="1" applyFont="1" applyFill="1" applyAlignment="1">
      <alignment horizontal="center"/>
    </xf>
    <xf numFmtId="164" fontId="14" fillId="2" borderId="0" xfId="71" applyNumberFormat="1" applyFont="1" applyFill="1"/>
    <xf numFmtId="0" fontId="6" fillId="2" borderId="0" xfId="0" applyFont="1" applyFill="1" applyBorder="1"/>
    <xf numFmtId="9" fontId="6" fillId="2" borderId="0" xfId="71" applyFont="1" applyFill="1" applyBorder="1"/>
    <xf numFmtId="0" fontId="13" fillId="2" borderId="0" xfId="71" applyNumberFormat="1" applyFont="1" applyFill="1"/>
    <xf numFmtId="164" fontId="6" fillId="2" borderId="3" xfId="71" applyNumberFormat="1" applyFont="1" applyFill="1" applyBorder="1"/>
    <xf numFmtId="0" fontId="3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165" fontId="11" fillId="2" borderId="0" xfId="71" applyNumberFormat="1" applyFont="1" applyFill="1"/>
    <xf numFmtId="164" fontId="6" fillId="2" borderId="0" xfId="71" applyNumberFormat="1" applyFont="1" applyFill="1"/>
    <xf numFmtId="0" fontId="0" fillId="3" borderId="0" xfId="0" applyFill="1"/>
    <xf numFmtId="0" fontId="3" fillId="3" borderId="0" xfId="0" applyFont="1" applyFill="1"/>
  </cellXfs>
  <cellStyles count="2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Normal" xfId="0" builtinId="0"/>
    <cellStyle name="Normal 2" xfId="252" xr:uid="{00000000-0005-0000-0000-0000FB000000}"/>
    <cellStyle name="Percent" xfId="71" builtinId="5"/>
  </cellStyles>
  <dxfs count="0"/>
  <tableStyles count="0" defaultTableStyle="TableStyleMedium9" defaultPivotStyle="PivotStyleMedium4"/>
  <colors>
    <mruColors>
      <color rgb="FF4BC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36859169694"/>
          <c:y val="6.9387487278375903E-2"/>
          <c:w val="0.77709333716676698"/>
          <c:h val="0.7524450891007039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BinomialDist!$D$17</c:f>
              <c:strCache>
                <c:ptCount val="1"/>
                <c:pt idx="0">
                  <c:v>P(X=x|n,p)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circle"/>
            <c:size val="6"/>
            <c:spPr>
              <a:solidFill>
                <a:srgbClr val="4BC351"/>
              </a:solidFill>
            </c:spPr>
          </c:marker>
          <c:xVal>
            <c:numRef>
              <c:f>BinomialDist!$C$18:$C$1060</c:f>
              <c:numCache>
                <c:formatCode>General</c:formatCode>
                <c:ptCount val="1043"/>
                <c:pt idx="0">
                  <c:v>0</c:v>
                </c:pt>
                <c:pt idx="1">
                  <c:v>3.3333333333333335</c:v>
                </c:pt>
                <c:pt idx="2">
                  <c:v>6.666666666666667</c:v>
                </c:pt>
                <c:pt idx="3">
                  <c:v>10</c:v>
                </c:pt>
                <c:pt idx="4">
                  <c:v>13.333333333333334</c:v>
                </c:pt>
                <c:pt idx="5">
                  <c:v>16.666666666666668</c:v>
                </c:pt>
                <c:pt idx="6">
                  <c:v>20</c:v>
                </c:pt>
                <c:pt idx="7">
                  <c:v>23.333333333333332</c:v>
                </c:pt>
                <c:pt idx="8">
                  <c:v>26.666666666666668</c:v>
                </c:pt>
                <c:pt idx="9">
                  <c:v>30</c:v>
                </c:pt>
                <c:pt idx="10">
                  <c:v>33.333333333333336</c:v>
                </c:pt>
                <c:pt idx="11">
                  <c:v>36.666666666666664</c:v>
                </c:pt>
                <c:pt idx="12">
                  <c:v>40</c:v>
                </c:pt>
                <c:pt idx="13">
                  <c:v>43.333333333333336</c:v>
                </c:pt>
                <c:pt idx="14">
                  <c:v>46.666666666666664</c:v>
                </c:pt>
                <c:pt idx="15">
                  <c:v>50</c:v>
                </c:pt>
                <c:pt idx="16">
                  <c:v>53.333333333333336</c:v>
                </c:pt>
                <c:pt idx="17">
                  <c:v>56.666666666666664</c:v>
                </c:pt>
                <c:pt idx="18">
                  <c:v>60</c:v>
                </c:pt>
                <c:pt idx="19">
                  <c:v>63.333333333333336</c:v>
                </c:pt>
                <c:pt idx="20">
                  <c:v>66.666666666666671</c:v>
                </c:pt>
                <c:pt idx="21">
                  <c:v>70</c:v>
                </c:pt>
                <c:pt idx="22">
                  <c:v>73.333333333333329</c:v>
                </c:pt>
                <c:pt idx="23">
                  <c:v>76.666666666666671</c:v>
                </c:pt>
                <c:pt idx="24">
                  <c:v>80</c:v>
                </c:pt>
                <c:pt idx="25">
                  <c:v>83.333333333333329</c:v>
                </c:pt>
                <c:pt idx="26">
                  <c:v>86.666666666666671</c:v>
                </c:pt>
                <c:pt idx="27">
                  <c:v>90</c:v>
                </c:pt>
                <c:pt idx="28">
                  <c:v>93.333333333333329</c:v>
                </c:pt>
                <c:pt idx="29">
                  <c:v>96.666666666666671</c:v>
                </c:pt>
                <c:pt idx="30">
                  <c:v>100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</c:numCache>
            </c:numRef>
          </c:xVal>
          <c:yVal>
            <c:numRef>
              <c:f>BinomialDist!$D$18:$D$1060</c:f>
              <c:numCache>
                <c:formatCode>General</c:formatCode>
                <c:ptCount val="1043"/>
                <c:pt idx="0">
                  <c:v>1.0737418240000151E-21</c:v>
                </c:pt>
                <c:pt idx="1">
                  <c:v>3.1004295168000412E-19</c:v>
                </c:pt>
                <c:pt idx="2">
                  <c:v>4.1854791843840517E-17</c:v>
                </c:pt>
                <c:pt idx="3">
                  <c:v>3.5056233585050003E-15</c:v>
                </c:pt>
                <c:pt idx="4">
                  <c:v>2.0384142078247127E-13</c:v>
                </c:pt>
                <c:pt idx="5">
                  <c:v>8.7226034092833014E-12</c:v>
                </c:pt>
                <c:pt idx="6">
                  <c:v>2.8404592862561153E-10</c:v>
                </c:pt>
                <c:pt idx="7">
                  <c:v>7.1781094698913652E-9</c:v>
                </c:pt>
                <c:pt idx="8">
                  <c:v>1.4222626177832358E-7</c:v>
                </c:pt>
                <c:pt idx="9">
                  <c:v>2.216577470468302E-6</c:v>
                </c:pt>
                <c:pt idx="10">
                  <c:v>2.7087734219492343E-5</c:v>
                </c:pt>
                <c:pt idx="11">
                  <c:v>2.5711800193684991E-4</c:v>
                </c:pt>
                <c:pt idx="12">
                  <c:v>1.8642850749990994E-3</c:v>
                </c:pt>
                <c:pt idx="13">
                  <c:v>1.0066720211999891E-2</c:v>
                </c:pt>
                <c:pt idx="14">
                  <c:v>3.9068935862458451E-2</c:v>
                </c:pt>
                <c:pt idx="15">
                  <c:v>0.10433097816475431</c:v>
                </c:pt>
                <c:pt idx="16">
                  <c:v>0.18557744534667747</c:v>
                </c:pt>
                <c:pt idx="17">
                  <c:v>0.2271303747832471</c:v>
                </c:pt>
                <c:pt idx="18">
                  <c:v>0.19979892702216856</c:v>
                </c:pt>
                <c:pt idx="19">
                  <c:v>0.13089013722817222</c:v>
                </c:pt>
                <c:pt idx="20">
                  <c:v>6.5499913684717248E-2</c:v>
                </c:pt>
                <c:pt idx="21">
                  <c:v>2.5459189429426796E-2</c:v>
                </c:pt>
                <c:pt idx="22">
                  <c:v>7.7595236784215411E-3</c:v>
                </c:pt>
                <c:pt idx="23">
                  <c:v>1.8601970626388271E-3</c:v>
                </c:pt>
                <c:pt idx="24">
                  <c:v>3.4964800556829825E-4</c:v>
                </c:pt>
                <c:pt idx="25">
                  <c:v>5.1001414721332859E-5</c:v>
                </c:pt>
                <c:pt idx="26">
                  <c:v>5.6613778784586507E-6</c:v>
                </c:pt>
                <c:pt idx="27">
                  <c:v>4.6247532844578326E-7</c:v>
                </c:pt>
                <c:pt idx="28">
                  <c:v>2.6227814990657801E-8</c:v>
                </c:pt>
                <c:pt idx="29">
                  <c:v>9.2285272207923127E-10</c:v>
                </c:pt>
                <c:pt idx="30">
                  <c:v>1.5181127029874801E-11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F1-460A-B99C-9CC577BD75FE}"/>
            </c:ext>
          </c:extLst>
        </c:ser>
        <c:ser>
          <c:idx val="1"/>
          <c:order val="1"/>
          <c:tx>
            <c:v>Pass Line</c:v>
          </c:tx>
          <c:spPr>
            <a:ln>
              <a:prstDash val="sysDash"/>
            </a:ln>
          </c:spPr>
          <c:marker>
            <c:symbol val="none"/>
          </c:marker>
          <c:xVal>
            <c:numRef>
              <c:f>BinomialDist!$K$7:$K$8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BinomialDist!$L$7:$L$8</c:f>
              <c:numCache>
                <c:formatCode>General</c:formatCode>
                <c:ptCount val="2"/>
                <c:pt idx="0">
                  <c:v>0</c:v>
                </c:pt>
                <c:pt idx="1">
                  <c:v>0.2271303747832471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F1-460A-B99C-9CC577BD75FE}"/>
            </c:ext>
          </c:extLst>
        </c:ser>
        <c:ser>
          <c:idx val="2"/>
          <c:order val="2"/>
          <c:tx>
            <c:v>Student Knowledge</c:v>
          </c:tx>
          <c:spPr>
            <a:ln>
              <a:solidFill>
                <a:srgbClr val="660066"/>
              </a:solidFill>
              <a:prstDash val="sysDot"/>
            </a:ln>
          </c:spPr>
          <c:marker>
            <c:symbol val="none"/>
          </c:marker>
          <c:xVal>
            <c:numRef>
              <c:f>BinomialDist!$K$11:$K$12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BinomialDist!$L$11:$L$12</c:f>
              <c:numCache>
                <c:formatCode>General</c:formatCode>
                <c:ptCount val="2"/>
                <c:pt idx="0">
                  <c:v>0</c:v>
                </c:pt>
                <c:pt idx="1">
                  <c:v>0.2271303747832471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F1-460A-B99C-9CC577BD7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55296"/>
        <c:axId val="153626112"/>
      </c:scatterChart>
      <c:valAx>
        <c:axId val="153255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Student Mark (%)</a:t>
                </a:r>
              </a:p>
            </c:rich>
          </c:tx>
          <c:layout>
            <c:manualLayout>
              <c:xMode val="edge"/>
              <c:yMode val="edge"/>
              <c:x val="0.40015500190959102"/>
              <c:y val="0.9110016092140149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3626112"/>
        <c:crosses val="autoZero"/>
        <c:crossBetween val="midCat"/>
      </c:valAx>
      <c:valAx>
        <c:axId val="1536261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Probability</a:t>
                </a:r>
              </a:p>
            </c:rich>
          </c:tx>
          <c:layout>
            <c:manualLayout>
              <c:xMode val="edge"/>
              <c:yMode val="edge"/>
              <c:x val="1.2951404971437401E-2"/>
              <c:y val="0.32005689982182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3255296"/>
        <c:crosses val="autoZero"/>
        <c:crossBetween val="midCat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77970660316768"/>
          <c:y val="3.63929587915435E-2"/>
          <c:w val="0.30668234969080899"/>
          <c:h val="0.112729381928525"/>
        </c:manualLayout>
      </c:layout>
      <c:overlay val="1"/>
      <c:spPr>
        <a:solidFill>
          <a:schemeClr val="bg1">
            <a:lumMod val="95000"/>
          </a:schemeClr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346896805999"/>
          <c:y val="4.8855993334541499E-2"/>
          <c:w val="0.80505838525414897"/>
          <c:h val="0.79736935336671499"/>
        </c:manualLayout>
      </c:layout>
      <c:scatterChart>
        <c:scatterStyle val="smoothMarker"/>
        <c:varyColors val="0"/>
        <c:ser>
          <c:idx val="0"/>
          <c:order val="0"/>
          <c:tx>
            <c:v>Most Likely Mark</c:v>
          </c:tx>
          <c:spPr>
            <a:ln>
              <a:solidFill>
                <a:schemeClr val="tx1"/>
              </a:solidFill>
            </a:ln>
          </c:spPr>
          <c:marker>
            <c:symbol val="circle"/>
            <c:size val="6"/>
            <c:spPr>
              <a:solidFill>
                <a:srgbClr val="4BC351"/>
              </a:solidFill>
            </c:spPr>
          </c:marker>
          <c:xVal>
            <c:numRef>
              <c:f>BinomialDist!$B$18:$B$1060</c:f>
              <c:numCache>
                <c:formatCode>General</c:formatCode>
                <c:ptCount val="10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</c:numCache>
            </c:numRef>
          </c:xVal>
          <c:yVal>
            <c:numRef>
              <c:f>BinomialDist!$H$18:$H$1060</c:f>
              <c:numCache>
                <c:formatCode>General</c:formatCode>
                <c:ptCount val="1043"/>
                <c:pt idx="0">
                  <c:v>20</c:v>
                </c:pt>
                <c:pt idx="1">
                  <c:v>22.500000000000004</c:v>
                </c:pt>
                <c:pt idx="2">
                  <c:v>25</c:v>
                </c:pt>
                <c:pt idx="3">
                  <c:v>27.5</c:v>
                </c:pt>
                <c:pt idx="4">
                  <c:v>30</c:v>
                </c:pt>
                <c:pt idx="5">
                  <c:v>32.5</c:v>
                </c:pt>
                <c:pt idx="6">
                  <c:v>35</c:v>
                </c:pt>
                <c:pt idx="7">
                  <c:v>37.5</c:v>
                </c:pt>
                <c:pt idx="8">
                  <c:v>40</c:v>
                </c:pt>
                <c:pt idx="9">
                  <c:v>42.5</c:v>
                </c:pt>
                <c:pt idx="10">
                  <c:v>45</c:v>
                </c:pt>
                <c:pt idx="11">
                  <c:v>47.5</c:v>
                </c:pt>
                <c:pt idx="12">
                  <c:v>49.999999999999993</c:v>
                </c:pt>
                <c:pt idx="13">
                  <c:v>52.5</c:v>
                </c:pt>
                <c:pt idx="14">
                  <c:v>55</c:v>
                </c:pt>
                <c:pt idx="15">
                  <c:v>57.5</c:v>
                </c:pt>
                <c:pt idx="16">
                  <c:v>60</c:v>
                </c:pt>
                <c:pt idx="17">
                  <c:v>62.5</c:v>
                </c:pt>
                <c:pt idx="18">
                  <c:v>65</c:v>
                </c:pt>
                <c:pt idx="19">
                  <c:v>67.5</c:v>
                </c:pt>
                <c:pt idx="20">
                  <c:v>70</c:v>
                </c:pt>
                <c:pt idx="21">
                  <c:v>72.5</c:v>
                </c:pt>
                <c:pt idx="22">
                  <c:v>75</c:v>
                </c:pt>
                <c:pt idx="23">
                  <c:v>77.499999999999986</c:v>
                </c:pt>
                <c:pt idx="24">
                  <c:v>79.999999999999986</c:v>
                </c:pt>
                <c:pt idx="25">
                  <c:v>82.5</c:v>
                </c:pt>
                <c:pt idx="26">
                  <c:v>85</c:v>
                </c:pt>
                <c:pt idx="27">
                  <c:v>87.5</c:v>
                </c:pt>
                <c:pt idx="28">
                  <c:v>89.999999999999986</c:v>
                </c:pt>
                <c:pt idx="29">
                  <c:v>92.499999999999986</c:v>
                </c:pt>
                <c:pt idx="30">
                  <c:v>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1-45FC-9589-E33F9389E23F}"/>
            </c:ext>
          </c:extLst>
        </c:ser>
        <c:ser>
          <c:idx val="1"/>
          <c:order val="1"/>
          <c:tx>
            <c:v>Pass Line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BinomialDist!$N$7:$N$8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BinomialDist!$O$7:$O$8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81-45FC-9589-E33F9389E23F}"/>
            </c:ext>
          </c:extLst>
        </c:ser>
        <c:ser>
          <c:idx val="2"/>
          <c:order val="2"/>
          <c:tx>
            <c:v>Student Knowledge</c:v>
          </c:tx>
          <c:spPr>
            <a:ln>
              <a:solidFill>
                <a:srgbClr val="660066"/>
              </a:solidFill>
              <a:prstDash val="sysDot"/>
            </a:ln>
          </c:spPr>
          <c:marker>
            <c:symbol val="none"/>
          </c:marker>
          <c:xVal>
            <c:numRef>
              <c:f>BinomialDist!$N$11:$N$12</c:f>
              <c:numCache>
                <c:formatCode>General</c:formatCode>
                <c:ptCount val="2"/>
                <c:pt idx="0">
                  <c:v>0</c:v>
                </c:pt>
                <c:pt idx="1">
                  <c:v>30</c:v>
                </c:pt>
              </c:numCache>
            </c:numRef>
          </c:xVal>
          <c:yVal>
            <c:numRef>
              <c:f>BinomialDist!$O$11:$O$12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81-45FC-9589-E33F9389E23F}"/>
            </c:ext>
          </c:extLst>
        </c:ser>
        <c:ser>
          <c:idx val="3"/>
          <c:order val="3"/>
          <c:tx>
            <c:v>Problem</c:v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BinomialDist!$I$18:$I$1060</c:f>
              <c:numCache>
                <c:formatCode>General</c:formatCode>
                <c:ptCount val="10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</c:numCache>
            </c:numRef>
          </c:xVal>
          <c:yVal>
            <c:numRef>
              <c:f>BinomialDist!$J$18:$J$1060</c:f>
              <c:numCache>
                <c:formatCode>General</c:formatCode>
                <c:ptCount val="10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49.999999999999993</c:v>
                </c:pt>
                <c:pt idx="13">
                  <c:v>52.5</c:v>
                </c:pt>
                <c:pt idx="14">
                  <c:v>55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81-45FC-9589-E33F9389E23F}"/>
            </c:ext>
          </c:extLst>
        </c:ser>
        <c:ser>
          <c:idx val="4"/>
          <c:order val="4"/>
          <c:tx>
            <c:v>Pass Line 2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BinomialDist!$N$14:$N$15</c:f>
              <c:numCache>
                <c:formatCode>General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BinomialDist!$O$14:$O$15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B81-45FC-9589-E33F9389E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668992"/>
        <c:axId val="153671168"/>
      </c:scatterChart>
      <c:valAx>
        <c:axId val="15366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# Questions Student Knows</a:t>
                </a:r>
              </a:p>
            </c:rich>
          </c:tx>
          <c:layout>
            <c:manualLayout>
              <c:xMode val="edge"/>
              <c:yMode val="edge"/>
              <c:x val="0.31485855935794099"/>
              <c:y val="0.9146601608085419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3671168"/>
        <c:crosses val="autoZero"/>
        <c:crossBetween val="midCat"/>
      </c:valAx>
      <c:valAx>
        <c:axId val="153671168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Expected Avg Test Score (%)</a:t>
                </a:r>
              </a:p>
            </c:rich>
          </c:tx>
          <c:layout>
            <c:manualLayout>
              <c:xMode val="edge"/>
              <c:yMode val="edge"/>
              <c:x val="1.1845944294847106E-4"/>
              <c:y val="0.1031105257099761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3668992"/>
        <c:crosses val="autoZero"/>
        <c:crossBetween val="midCat"/>
      </c:valAx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65574823391218695"/>
          <c:y val="0.55973400859660405"/>
          <c:w val="0.298756361800735"/>
          <c:h val="0.21527513597072601"/>
        </c:manualLayout>
      </c:layout>
      <c:overlay val="1"/>
      <c:spPr>
        <a:solidFill>
          <a:schemeClr val="bg1">
            <a:lumMod val="95000"/>
          </a:schemeClr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CheckBox" fmlaLink="$G$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266699</xdr:colOff>
      <xdr:row>0</xdr:row>
      <xdr:rowOff>142874</xdr:rowOff>
    </xdr:from>
    <xdr:to>
      <xdr:col>11</xdr:col>
      <xdr:colOff>28574</xdr:colOff>
      <xdr:row>39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6699" y="142874"/>
          <a:ext cx="7305675" cy="77438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This spreadsheet is</a:t>
          </a:r>
          <a:r>
            <a:rPr lang="en-CA" sz="1100" baseline="0"/>
            <a:t> a probability calculator for MCQ test outcome, based on the model presented in: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Dubins D, Poon GMK, Raman-Wilms L. When passing fails: Designing multiple choice assessments to control for false positives. Curr Pharm Teach Learn September–October, 2016. 8(5); 598–608.</a:t>
          </a:r>
          <a:endParaRPr lang="en-CA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CA" sz="1100"/>
        </a:p>
        <a:p>
          <a:r>
            <a:rPr lang="en-CA" sz="1100"/>
            <a:t>Macros</a:t>
          </a:r>
          <a:r>
            <a:rPr lang="en-CA" sz="1100" baseline="0"/>
            <a:t> need to be enabled for this spreadsheet to function.</a:t>
          </a:r>
        </a:p>
        <a:p>
          <a:endParaRPr lang="en-CA" sz="1100" baseline="0"/>
        </a:p>
        <a:p>
          <a:r>
            <a:rPr lang="en-CA" sz="1100" baseline="0"/>
            <a:t>The following formula is used to generate MCQ class mark distributions:</a:t>
          </a:r>
        </a:p>
        <a:p>
          <a:endParaRPr lang="en-CA" sz="1100" baseline="0"/>
        </a:p>
        <a:p>
          <a:endParaRPr lang="en-CA" sz="1100" baseline="0"/>
        </a:p>
        <a:p>
          <a:endParaRPr lang="en-CA" sz="1100" baseline="0"/>
        </a:p>
        <a:p>
          <a:endParaRPr lang="en-CA" sz="1100" baseline="0"/>
        </a:p>
        <a:p>
          <a:r>
            <a:rPr lang="en-CA" sz="1100" baseline="0"/>
            <a:t>where :</a:t>
          </a:r>
        </a:p>
        <a:p>
          <a:r>
            <a:rPr lang="en-CA" sz="1100" b="1" baseline="0"/>
            <a:t>X</a:t>
          </a:r>
          <a:r>
            <a:rPr lang="en-CA" sz="1100" baseline="0"/>
            <a:t> is the student's mark, in percent;</a:t>
          </a:r>
        </a:p>
        <a:p>
          <a:r>
            <a:rPr lang="en-CA" sz="1100" b="1" baseline="0"/>
            <a:t>P(X=x) </a:t>
          </a:r>
          <a:r>
            <a:rPr lang="en-CA" sz="1100" baseline="0"/>
            <a:t>is the probability that a student's total test score will be x;</a:t>
          </a:r>
        </a:p>
        <a:p>
          <a:r>
            <a:rPr lang="en-CA" sz="1100" b="1" baseline="0"/>
            <a:t>q</a:t>
          </a:r>
          <a:r>
            <a:rPr lang="en-CA" sz="1100" baseline="0"/>
            <a:t> is the total number of questions on the MCQ test</a:t>
          </a:r>
        </a:p>
        <a:p>
          <a:r>
            <a:rPr lang="en-CA" sz="1100" b="1" baseline="0"/>
            <a:t>k</a:t>
          </a:r>
          <a:r>
            <a:rPr lang="en-CA" sz="1100" baseline="0"/>
            <a:t> is the number of questions the student "knows" (has the knowledge/understanding to answer)</a:t>
          </a:r>
          <a:endParaRPr lang="en-CA" sz="1100" baseline="0">
            <a:sym typeface="Symbol" panose="05050102010706020507" pitchFamily="18" charset="2"/>
          </a:endParaRPr>
        </a:p>
        <a:p>
          <a:r>
            <a:rPr lang="en-CA" sz="1100" b="1" baseline="0">
              <a:sym typeface="Symbol" panose="05050102010706020507" pitchFamily="18" charset="2"/>
            </a:rPr>
            <a:t>i </a:t>
          </a:r>
          <a:r>
            <a:rPr lang="en-CA" sz="1100" baseline="0">
              <a:sym typeface="Symbol" panose="05050102010706020507" pitchFamily="18" charset="2"/>
            </a:rPr>
            <a:t>is the i</a:t>
          </a:r>
          <a:r>
            <a:rPr lang="en-CA" sz="1100" baseline="30000">
              <a:sym typeface="Symbol" panose="05050102010706020507" pitchFamily="18" charset="2"/>
            </a:rPr>
            <a:t>th</a:t>
          </a:r>
          <a:r>
            <a:rPr lang="en-CA" sz="1100" baseline="0">
              <a:sym typeface="Symbol" panose="05050102010706020507" pitchFamily="18" charset="2"/>
            </a:rPr>
            <a:t> question on the test</a:t>
          </a:r>
        </a:p>
        <a:p>
          <a:r>
            <a:rPr lang="en-CA" sz="1100" b="1" baseline="0">
              <a:sym typeface="Symbol" panose="05050102010706020507" pitchFamily="18" charset="2"/>
            </a:rPr>
            <a:t></a:t>
          </a:r>
          <a:r>
            <a:rPr lang="en-CA" sz="1100" baseline="0">
              <a:sym typeface="Symbol" panose="05050102010706020507" pitchFamily="18" charset="2"/>
            </a:rPr>
            <a:t> is the probability of the student blundering (getting the answer wrong, even though they "know" the answer</a:t>
          </a:r>
        </a:p>
        <a:p>
          <a:r>
            <a:rPr lang="en-CA" sz="1100" b="1" i="1" baseline="0"/>
            <a:t>p</a:t>
          </a:r>
          <a:r>
            <a:rPr lang="en-CA" sz="1100" b="1" baseline="0"/>
            <a:t> </a:t>
          </a:r>
          <a:r>
            <a:rPr lang="en-CA" sz="1100" baseline="0"/>
            <a:t>is the probability of a student guessing a question correctly without any knowledge of the question.</a:t>
          </a:r>
        </a:p>
        <a:p>
          <a:r>
            <a:rPr lang="en-CA" sz="1100" baseline="0"/>
            <a:t>Note that in the paper, </a:t>
          </a:r>
          <a:r>
            <a:rPr lang="en-CA" sz="1100" b="1" baseline="0"/>
            <a:t>p=1/#choices.</a:t>
          </a:r>
        </a:p>
        <a:p>
          <a:endParaRPr lang="en-CA" sz="1100" baseline="0"/>
        </a:p>
        <a:p>
          <a:r>
            <a:rPr lang="en-CA" sz="1100" baseline="0"/>
            <a:t>The parameters in the spreadsheet follow the same definitions:</a:t>
          </a:r>
        </a:p>
        <a:p>
          <a:r>
            <a:rPr lang="en-CA" sz="1100" b="1" baseline="0"/>
            <a:t>Educated Guessing (tick box): </a:t>
          </a:r>
          <a:r>
            <a:rPr lang="en-CA" sz="1100" baseline="0"/>
            <a:t>Simulates the effect of educated guessing on the probability of guessing correctly, by randomly reducing the number of options.</a:t>
          </a:r>
        </a:p>
        <a:p>
          <a:r>
            <a:rPr lang="en-CA" sz="1100" b="1"/>
            <a:t># MCQ Questions:</a:t>
          </a:r>
          <a:r>
            <a:rPr lang="en-CA" sz="1100"/>
            <a:t>  This</a:t>
          </a:r>
          <a:r>
            <a:rPr lang="en-CA" sz="1100" baseline="0"/>
            <a:t> is "q" in the model.</a:t>
          </a:r>
          <a:endParaRPr lang="en-CA" sz="1100"/>
        </a:p>
        <a:p>
          <a:r>
            <a:rPr lang="en-CA" sz="1100" b="1"/>
            <a:t># Choices/MCQ Question: </a:t>
          </a:r>
          <a:r>
            <a:rPr lang="en-CA" sz="1100" b="0"/>
            <a:t>The</a:t>
          </a:r>
          <a:r>
            <a:rPr lang="en-CA" sz="1100" b="0" baseline="0"/>
            <a:t> total number of response options per MCQ</a:t>
          </a:r>
          <a:endParaRPr lang="en-CA" sz="1100" b="1"/>
        </a:p>
        <a:p>
          <a:r>
            <a:rPr lang="en-CA" sz="1100" b="1"/>
            <a:t># Questions Student Knows: </a:t>
          </a:r>
          <a:r>
            <a:rPr lang="en-CA" sz="1100"/>
            <a:t>This is "k" in the model. The number</a:t>
          </a:r>
          <a:r>
            <a:rPr lang="en-CA" sz="1100" baseline="0"/>
            <a:t> of questions the student "knows" the answer to.</a:t>
          </a:r>
          <a:endParaRPr lang="en-CA" sz="1100"/>
        </a:p>
        <a:p>
          <a:r>
            <a:rPr lang="en-CA" sz="1100" b="1"/>
            <a:t>Passing Grade:</a:t>
          </a:r>
          <a:r>
            <a:rPr lang="en-CA" sz="1100"/>
            <a:t> (%) This is the total</a:t>
          </a:r>
          <a:r>
            <a:rPr lang="en-CA" sz="1100" baseline="0"/>
            <a:t> percent score required to pass the test. </a:t>
          </a:r>
          <a:r>
            <a:rPr lang="en-CA" sz="1100"/>
            <a:t>In</a:t>
          </a:r>
          <a:r>
            <a:rPr lang="en-CA" sz="1100" baseline="0"/>
            <a:t> Canada, 50% is a commonly used passing grade.</a:t>
          </a:r>
          <a:endParaRPr lang="en-CA" sz="1100"/>
        </a:p>
        <a:p>
          <a:r>
            <a:rPr lang="en-CA" sz="1100" b="1"/>
            <a:t>Passing Mark:</a:t>
          </a:r>
          <a:r>
            <a:rPr lang="en-CA" sz="1100"/>
            <a:t>   This is the total raw score required to pass the test. (calculated by the spreadsheet)</a:t>
          </a:r>
        </a:p>
        <a:p>
          <a:r>
            <a:rPr lang="en-CA" sz="1100" b="1"/>
            <a:t>P(Answering unknown question correctly), p:</a:t>
          </a:r>
          <a:r>
            <a:rPr lang="en-CA" sz="1100"/>
            <a:t> </a:t>
          </a:r>
          <a:r>
            <a:rPr lang="en-CA" sz="1100" baseline="0"/>
            <a:t> Calculated by the spreasheet, using the above formula.</a:t>
          </a:r>
          <a:endParaRPr lang="en-CA" sz="1100"/>
        </a:p>
        <a:p>
          <a:r>
            <a:rPr lang="en-CA" sz="1100" b="1"/>
            <a:t>P(Answering known question Incorrectly), </a:t>
          </a:r>
          <a:r>
            <a:rPr lang="en-C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</a:t>
          </a:r>
          <a:r>
            <a:rPr lang="en-CA" sz="1100" b="1"/>
            <a:t>: </a:t>
          </a:r>
          <a:r>
            <a:rPr lang="en-CA" sz="1100"/>
            <a:t> This</a:t>
          </a:r>
          <a:r>
            <a:rPr lang="en-CA" sz="1100" baseline="0"/>
            <a:t> is 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"" in the model.</a:t>
          </a:r>
          <a:endParaRPr lang="en-CA" sz="1100"/>
        </a:p>
        <a:p>
          <a:r>
            <a:rPr lang="en-CA" sz="1100" b="1"/>
            <a:t>Most frequently observed mark: Calculated by the spreadsheet. </a:t>
          </a:r>
          <a:r>
            <a:rPr lang="en-CA" sz="1100" b="0"/>
            <a:t>The expected mode of the mark</a:t>
          </a:r>
          <a:r>
            <a:rPr lang="en-CA" sz="1100" b="0" baseline="0"/>
            <a:t> distribution. </a:t>
          </a:r>
        </a:p>
        <a:p>
          <a:r>
            <a:rPr lang="en-CA" sz="1100" b="1"/>
            <a:t>P(PASS): </a:t>
          </a:r>
          <a:r>
            <a:rPr lang="en-CA" sz="1100"/>
            <a:t>Estimated</a:t>
          </a:r>
          <a:r>
            <a:rPr lang="en-CA" sz="1100" baseline="0"/>
            <a:t> probability that a student will pass the test.</a:t>
          </a:r>
          <a:endParaRPr lang="en-CA" sz="1100"/>
        </a:p>
        <a:p>
          <a:r>
            <a:rPr lang="en-CA" sz="1100" b="1"/>
            <a:t>P(False Positive): </a:t>
          </a:r>
          <a:r>
            <a:rPr lang="en-CA" sz="1100"/>
            <a:t>Estimated probability that a student with less than a</a:t>
          </a:r>
          <a:r>
            <a:rPr lang="en-CA" sz="1100" baseline="0"/>
            <a:t> passing amount of knowledge will pass the test.</a:t>
          </a:r>
          <a:endParaRPr lang="en-CA" sz="1100"/>
        </a:p>
        <a:p>
          <a:r>
            <a:rPr lang="en-CA" sz="1100" b="1"/>
            <a:t>P(False Negative): </a:t>
          </a:r>
          <a:r>
            <a:rPr lang="en-CA" sz="1100"/>
            <a:t>Estimated</a:t>
          </a:r>
          <a:r>
            <a:rPr lang="en-CA" sz="1100" baseline="0"/>
            <a:t> probability that a student with greater than a passing amount of knowledge will fail the test.</a:t>
          </a:r>
          <a:endParaRPr lang="en-CA" sz="1100"/>
        </a:p>
        <a:p>
          <a:r>
            <a:rPr lang="en-CA" sz="1100" b="1"/>
            <a:t>LK</a:t>
          </a:r>
          <a:r>
            <a:rPr lang="en-CA" sz="1100" b="1" baseline="-25000">
              <a:sym typeface="Symbol" panose="05050102010706020507" pitchFamily="18" charset="2"/>
            </a:rPr>
            <a:t></a:t>
          </a:r>
          <a:r>
            <a:rPr lang="en-CA" sz="1100" b="1" baseline="-25000"/>
            <a:t>&lt;5%</a:t>
          </a:r>
          <a:r>
            <a:rPr lang="en-CA" sz="1100" b="1"/>
            <a:t>: </a:t>
          </a:r>
          <a:r>
            <a:rPr lang="en-CA" sz="1100"/>
            <a:t>The</a:t>
          </a:r>
          <a:r>
            <a:rPr lang="en-CA" sz="1100" baseline="0"/>
            <a:t> minimum level of knowledge a student needs to have for the test to fail the student at an error rate &lt;5% (or, what we will call "reliably fail a student").</a:t>
          </a:r>
          <a:endParaRPr lang="en-CA" sz="1100"/>
        </a:p>
        <a:p>
          <a:r>
            <a:rPr lang="en-CA" sz="1100" b="1"/>
            <a:t>Pass Mark</a:t>
          </a:r>
          <a:r>
            <a:rPr lang="en-CA" sz="1100" b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</a:t>
          </a:r>
          <a:r>
            <a:rPr lang="en-CA" sz="1100" b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&lt;5%</a:t>
          </a:r>
          <a:r>
            <a:rPr lang="en-CA" sz="1100" b="1"/>
            <a:t>: </a:t>
          </a:r>
          <a:r>
            <a:rPr lang="en-CA" sz="1100"/>
            <a:t>The</a:t>
          </a:r>
          <a:r>
            <a:rPr lang="en-CA" sz="1100" baseline="0"/>
            <a:t> calculated pass mark required to "reliably fail a student" having a level of knowledge &lt; passing mark</a:t>
          </a:r>
          <a:endParaRPr lang="en-CA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/>
            <a:t>LK</a:t>
          </a:r>
          <a:r>
            <a:rPr lang="en-CA" sz="1100" b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</a:t>
          </a:r>
          <a:r>
            <a:rPr lang="en-CA" sz="1100" b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&lt;50%</a:t>
          </a:r>
          <a:r>
            <a:rPr lang="en-CA" sz="1100" b="1"/>
            <a:t>: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minimum level of knowledge a student needs to have for the test to fail the student at an error rate &lt;50%.</a:t>
          </a:r>
          <a:endParaRPr lang="en-CA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Pass Mark</a:t>
          </a:r>
          <a:r>
            <a:rPr lang="en-CA" sz="1100" b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</a:t>
          </a:r>
          <a:r>
            <a:rPr lang="en-CA" sz="1100" b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&lt;50%</a:t>
          </a:r>
          <a:r>
            <a:rPr lang="en-CA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calculated pass mark required to fail a student having a level of knowledge &lt; passing mark, at an error rate &lt;50%. In this case, the test will only fail the student approx. half the time.</a:t>
          </a:r>
          <a:endParaRPr lang="en-CA">
            <a:effectLst/>
          </a:endParaRPr>
        </a:p>
        <a:p>
          <a:endParaRPr lang="en-CA" sz="1100"/>
        </a:p>
      </xdr:txBody>
    </xdr:sp>
    <xdr:clientData/>
  </xdr:twoCellAnchor>
  <xdr:twoCellAnchor>
    <xdr:from>
      <xdr:col>0</xdr:col>
      <xdr:colOff>657226</xdr:colOff>
      <xdr:row>8</xdr:row>
      <xdr:rowOff>19049</xdr:rowOff>
    </xdr:from>
    <xdr:to>
      <xdr:col>9</xdr:col>
      <xdr:colOff>180976</xdr:colOff>
      <xdr:row>11</xdr:row>
      <xdr:rowOff>53479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57226" y="1619249"/>
          <a:ext cx="5695950" cy="634505"/>
          <a:chOff x="9639300" y="2990849"/>
          <a:chExt cx="7439025" cy="828676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52496" t="19416" r="21619" b="72345"/>
          <a:stretch/>
        </xdr:blipFill>
        <xdr:spPr>
          <a:xfrm>
            <a:off x="9639300" y="2990850"/>
            <a:ext cx="4752975" cy="828675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54415" t="27655" r="30749" b="64105"/>
          <a:stretch/>
        </xdr:blipFill>
        <xdr:spPr>
          <a:xfrm>
            <a:off x="14354175" y="2990849"/>
            <a:ext cx="2724150" cy="82867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303525</xdr:colOff>
      <xdr:row>3</xdr:row>
      <xdr:rowOff>31725</xdr:rowOff>
    </xdr:from>
    <xdr:to>
      <xdr:col>16</xdr:col>
      <xdr:colOff>65828</xdr:colOff>
      <xdr:row>20</xdr:row>
      <xdr:rowOff>9926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71967</xdr:colOff>
      <xdr:row>4</xdr:row>
      <xdr:rowOff>186954</xdr:rowOff>
    </xdr:from>
    <xdr:to>
      <xdr:col>27</xdr:col>
      <xdr:colOff>168487</xdr:colOff>
      <xdr:row>8</xdr:row>
      <xdr:rowOff>145625</xdr:rowOff>
    </xdr:to>
    <xdr:pic>
      <xdr:nvPicPr>
        <xdr:cNvPr id="4" name="Picture 3" descr="http://www.biologycorner.com/resources/chi_square.gi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6300" y="4860554"/>
          <a:ext cx="2128520" cy="757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399861</xdr:colOff>
      <xdr:row>22</xdr:row>
      <xdr:rowOff>73413</xdr:rowOff>
    </xdr:from>
    <xdr:to>
      <xdr:col>16</xdr:col>
      <xdr:colOff>151700</xdr:colOff>
      <xdr:row>40</xdr:row>
      <xdr:rowOff>113739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</xdr:row>
          <xdr:rowOff>0</xdr:rowOff>
        </xdr:from>
        <xdr:to>
          <xdr:col>7</xdr:col>
          <xdr:colOff>485775</xdr:colOff>
          <xdr:row>2</xdr:row>
          <xdr:rowOff>28575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Educated Guessing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2400-7A13-4B2C-A249-A6FC0347149E}">
  <dimension ref="B41:B42"/>
  <sheetViews>
    <sheetView tabSelected="1" workbookViewId="0">
      <selection activeCell="C3" sqref="C3"/>
    </sheetView>
  </sheetViews>
  <sheetFormatPr defaultRowHeight="15.75" x14ac:dyDescent="0.25"/>
  <cols>
    <col min="1" max="16384" width="9" style="40"/>
  </cols>
  <sheetData>
    <row r="41" spans="2:2" x14ac:dyDescent="0.25">
      <c r="B41" s="41" t="s">
        <v>50</v>
      </c>
    </row>
    <row r="42" spans="2:2" x14ac:dyDescent="0.25">
      <c r="B42" s="41" t="s">
        <v>51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AF1060"/>
  <sheetViews>
    <sheetView zoomScale="69" zoomScaleNormal="69" workbookViewId="0">
      <selection activeCell="G9" sqref="G9"/>
    </sheetView>
  </sheetViews>
  <sheetFormatPr defaultColWidth="8.875" defaultRowHeight="15.75" x14ac:dyDescent="0.25"/>
  <cols>
    <col min="1" max="1" width="3.625" style="1" customWidth="1"/>
    <col min="2" max="2" width="8.875" style="1"/>
    <col min="3" max="3" width="15.375" style="1" customWidth="1"/>
    <col min="4" max="4" width="13.625" style="1" customWidth="1"/>
    <col min="5" max="5" width="11.875" style="1" customWidth="1"/>
    <col min="6" max="6" width="11.125" style="1" customWidth="1"/>
    <col min="7" max="7" width="8.875" style="1"/>
    <col min="8" max="8" width="10" style="1" customWidth="1"/>
    <col min="9" max="9" width="10.125" style="1" bestFit="1" customWidth="1"/>
    <col min="10" max="10" width="5.5" style="1" customWidth="1"/>
    <col min="11" max="17" width="8.875" style="1"/>
    <col min="18" max="18" width="12.125" style="1" bestFit="1" customWidth="1"/>
    <col min="19" max="16384" width="8.875" style="1"/>
  </cols>
  <sheetData>
    <row r="1" spans="2:32" ht="16.5" thickBot="1" x14ac:dyDescent="0.3">
      <c r="B1" s="26" t="str">
        <f>IF(E2&gt;=170,"WARNING: Excel limit for factorials unstable above n=170.","")</f>
        <v/>
      </c>
    </row>
    <row r="2" spans="2:32" ht="18.95" customHeight="1" thickBot="1" x14ac:dyDescent="0.4">
      <c r="B2" s="1" t="s">
        <v>10</v>
      </c>
      <c r="E2" s="2">
        <v>30</v>
      </c>
      <c r="F2" s="32"/>
      <c r="G2" s="21" t="b">
        <v>0</v>
      </c>
      <c r="J2" s="25"/>
      <c r="K2" s="25"/>
      <c r="L2" s="25"/>
      <c r="M2" s="25" t="s">
        <v>27</v>
      </c>
      <c r="P2" s="25"/>
    </row>
    <row r="3" spans="2:32" ht="18.95" customHeight="1" thickBot="1" x14ac:dyDescent="0.35">
      <c r="B3" s="1" t="s">
        <v>12</v>
      </c>
      <c r="E3" s="4">
        <v>5</v>
      </c>
      <c r="F3" s="32"/>
      <c r="J3" s="24"/>
      <c r="K3" s="24"/>
      <c r="L3" s="24"/>
      <c r="M3" s="24" t="str">
        <f>E2&amp;" Questions, "&amp;E3&amp;" Choices/Q, Student Knows "&amp;E4&amp;" and Guesses "&amp;(E2-E4)</f>
        <v>30 Questions, 5 Choices/Q, Student Knows 15 and Guesses 15</v>
      </c>
      <c r="P3" s="24"/>
    </row>
    <row r="4" spans="2:32" ht="16.5" thickBot="1" x14ac:dyDescent="0.3">
      <c r="B4" s="1" t="s">
        <v>11</v>
      </c>
      <c r="E4" s="4">
        <v>15</v>
      </c>
      <c r="F4" s="32"/>
      <c r="Y4" s="1" t="s">
        <v>4</v>
      </c>
      <c r="Z4" s="1" t="s">
        <v>3</v>
      </c>
    </row>
    <row r="5" spans="2:32" ht="16.5" thickBot="1" x14ac:dyDescent="0.3">
      <c r="B5" s="5" t="s">
        <v>8</v>
      </c>
      <c r="E5" s="6">
        <v>0.5</v>
      </c>
      <c r="F5" s="33"/>
      <c r="K5" s="3" t="s">
        <v>32</v>
      </c>
      <c r="N5" s="3" t="s">
        <v>33</v>
      </c>
      <c r="Y5" s="1" t="s">
        <v>5</v>
      </c>
      <c r="Z5" s="1" t="s">
        <v>6</v>
      </c>
    </row>
    <row r="6" spans="2:32" x14ac:dyDescent="0.25">
      <c r="B6" s="5" t="s">
        <v>7</v>
      </c>
      <c r="E6" s="7">
        <f>E2*E5</f>
        <v>15</v>
      </c>
      <c r="F6" s="7"/>
      <c r="K6" s="1" t="s">
        <v>1</v>
      </c>
      <c r="L6" s="1" t="s">
        <v>9</v>
      </c>
      <c r="N6" s="1" t="s">
        <v>1</v>
      </c>
      <c r="O6" s="1" t="s">
        <v>9</v>
      </c>
    </row>
    <row r="7" spans="2:32" x14ac:dyDescent="0.25">
      <c r="B7" s="1" t="s">
        <v>35</v>
      </c>
      <c r="E7" s="31">
        <f>E4/E2</f>
        <v>0.5</v>
      </c>
      <c r="F7" s="31"/>
      <c r="K7" s="1">
        <f>E5*100</f>
        <v>50</v>
      </c>
      <c r="L7" s="1">
        <v>0</v>
      </c>
      <c r="N7" s="1">
        <f>T5*100</f>
        <v>0</v>
      </c>
      <c r="O7" s="1">
        <f>E5*100</f>
        <v>50</v>
      </c>
    </row>
    <row r="8" spans="2:32" ht="16.5" thickBot="1" x14ac:dyDescent="0.3">
      <c r="B8" s="8" t="s">
        <v>41</v>
      </c>
      <c r="E8" s="7">
        <f>IF(G2,AVERAGE(Z27:Z127),1/E3)</f>
        <v>0.2</v>
      </c>
      <c r="F8" s="7"/>
      <c r="K8" s="1">
        <f>E5*100</f>
        <v>50</v>
      </c>
      <c r="L8" s="1">
        <f>MAX($D$18:$D$1060)</f>
        <v>0.2271303747832471</v>
      </c>
      <c r="N8" s="1">
        <f>$E$2</f>
        <v>30</v>
      </c>
      <c r="O8" s="1">
        <f>O7</f>
        <v>50</v>
      </c>
    </row>
    <row r="9" spans="2:32" ht="16.5" thickBot="1" x14ac:dyDescent="0.3">
      <c r="B9" s="8" t="s">
        <v>40</v>
      </c>
      <c r="E9" s="35">
        <v>0.05</v>
      </c>
      <c r="F9" s="33"/>
      <c r="K9" s="5" t="s">
        <v>25</v>
      </c>
      <c r="N9" s="5" t="s">
        <v>25</v>
      </c>
    </row>
    <row r="10" spans="2:32" x14ac:dyDescent="0.25">
      <c r="B10" s="5" t="s">
        <v>26</v>
      </c>
      <c r="E10" s="15">
        <f>((E4*(1-E9))+(E2-E4)*E8)/E2</f>
        <v>0.57499999999999996</v>
      </c>
      <c r="K10" s="1" t="s">
        <v>1</v>
      </c>
      <c r="L10" s="1" t="s">
        <v>9</v>
      </c>
      <c r="N10" s="1" t="s">
        <v>1</v>
      </c>
      <c r="O10" s="1" t="s">
        <v>9</v>
      </c>
      <c r="Z10" s="5" t="s">
        <v>19</v>
      </c>
      <c r="AD10" s="5" t="s">
        <v>17</v>
      </c>
    </row>
    <row r="11" spans="2:32" ht="18.75" x14ac:dyDescent="0.3">
      <c r="B11" s="17"/>
      <c r="C11" s="18"/>
      <c r="D11" s="37" t="s">
        <v>28</v>
      </c>
      <c r="E11" s="38">
        <f>SUM(G18:G1060)</f>
        <v>0.94871348683956958</v>
      </c>
      <c r="K11" s="1">
        <f>100*$E$7</f>
        <v>50</v>
      </c>
      <c r="L11" s="1">
        <v>0</v>
      </c>
      <c r="N11" s="1">
        <v>0</v>
      </c>
      <c r="O11" s="1">
        <v>0</v>
      </c>
      <c r="Z11" s="1" t="s">
        <v>20</v>
      </c>
      <c r="AA11" s="1" t="s">
        <v>21</v>
      </c>
      <c r="AB11" s="5" t="s">
        <v>16</v>
      </c>
      <c r="AD11" s="1" t="s">
        <v>20</v>
      </c>
      <c r="AE11" s="1" t="s">
        <v>21</v>
      </c>
      <c r="AF11" s="5" t="s">
        <v>16</v>
      </c>
    </row>
    <row r="12" spans="2:32" ht="18.75" x14ac:dyDescent="0.3">
      <c r="B12" s="17"/>
      <c r="C12" s="18"/>
      <c r="D12" s="37" t="s">
        <v>46</v>
      </c>
      <c r="E12" s="34">
        <f>SUM(E18:E1060)</f>
        <v>0</v>
      </c>
      <c r="F12" s="1" t="s">
        <v>38</v>
      </c>
      <c r="K12" s="1">
        <f>100*$E$7</f>
        <v>50</v>
      </c>
      <c r="L12" s="1">
        <f>MAX($D$18:$D$1060)</f>
        <v>0.2271303747832471</v>
      </c>
      <c r="N12" s="1">
        <f>$E$2</f>
        <v>30</v>
      </c>
      <c r="O12" s="1">
        <v>100</v>
      </c>
      <c r="Y12" s="1" t="s">
        <v>22</v>
      </c>
      <c r="Z12" s="1">
        <f>E8*E2</f>
        <v>6</v>
      </c>
      <c r="AA12" s="1">
        <f>E10*E2</f>
        <v>17.25</v>
      </c>
      <c r="AB12" s="1">
        <f>SUM(Z12:AA12)</f>
        <v>23.25</v>
      </c>
      <c r="AD12" s="1">
        <f>AF12*$Z$14</f>
        <v>11.625</v>
      </c>
      <c r="AE12" s="1">
        <f>AF12*$AA$14</f>
        <v>11.625</v>
      </c>
      <c r="AF12" s="1">
        <f>AB12/AB14</f>
        <v>0.38750000000000001</v>
      </c>
    </row>
    <row r="13" spans="2:32" ht="18.75" x14ac:dyDescent="0.3">
      <c r="B13" s="17"/>
      <c r="D13" s="37" t="s">
        <v>47</v>
      </c>
      <c r="E13" s="34">
        <f>SUM(F18:F1060)</f>
        <v>5.1286513160431424E-2</v>
      </c>
      <c r="F13" s="1" t="s">
        <v>37</v>
      </c>
      <c r="N13" s="5" t="s">
        <v>34</v>
      </c>
      <c r="Y13" s="1" t="s">
        <v>23</v>
      </c>
      <c r="Z13" s="1">
        <f>E2-Z12</f>
        <v>24</v>
      </c>
      <c r="AA13" s="1">
        <f>E2-AA12</f>
        <v>12.75</v>
      </c>
      <c r="AB13" s="1">
        <f>SUM(Z13:AA13)</f>
        <v>36.75</v>
      </c>
      <c r="AD13" s="1">
        <f>AF13*$Z$14</f>
        <v>18.375</v>
      </c>
      <c r="AE13" s="1">
        <f>AF13*$AA$14</f>
        <v>18.375</v>
      </c>
      <c r="AF13" s="1">
        <f>AB13/AB14</f>
        <v>0.61250000000000004</v>
      </c>
    </row>
    <row r="14" spans="2:32" ht="18.75" x14ac:dyDescent="0.35">
      <c r="B14" s="36" t="s">
        <v>44</v>
      </c>
      <c r="C14" s="15">
        <f>LKalpha(0.05,$E$5,$E$2,$E$8,$E$9)/$E$2</f>
        <v>0.2</v>
      </c>
      <c r="D14" s="36" t="s">
        <v>48</v>
      </c>
      <c r="E14" s="39">
        <f>LKpassmark(0.05,0.5,$E$2,$E$8,$E$9)/$E$2</f>
        <v>0.7</v>
      </c>
      <c r="N14" s="1">
        <f>E6</f>
        <v>15</v>
      </c>
      <c r="O14" s="1">
        <v>0</v>
      </c>
      <c r="Y14" s="5" t="s">
        <v>16</v>
      </c>
      <c r="Z14" s="1">
        <f>E2</f>
        <v>30</v>
      </c>
      <c r="AA14" s="1">
        <f>SUM(AA12:AA13)</f>
        <v>30</v>
      </c>
      <c r="AB14" s="1">
        <f>SUM(AB12:AB13)</f>
        <v>60</v>
      </c>
    </row>
    <row r="15" spans="2:32" ht="18.75" x14ac:dyDescent="0.35">
      <c r="B15" s="36" t="s">
        <v>45</v>
      </c>
      <c r="C15" s="15">
        <f>LKalpha(0.5,$E$5,$E$2,$E$8,$E$9)/$E$2</f>
        <v>0.36666666666666664</v>
      </c>
      <c r="D15" s="36" t="s">
        <v>49</v>
      </c>
      <c r="E15" s="39">
        <f>LKpassmark(0.5,0.5,$E$2,$E$8,$E$9)/$E$2</f>
        <v>0.56666666666666665</v>
      </c>
      <c r="K15" s="21" t="str">
        <f>IF(AND(I18=0,I19&gt;0),B18,"")</f>
        <v/>
      </c>
      <c r="N15" s="1">
        <f>E6</f>
        <v>15</v>
      </c>
      <c r="O15" s="1">
        <v>100</v>
      </c>
    </row>
    <row r="16" spans="2:32" x14ac:dyDescent="0.25">
      <c r="Y16" s="1" t="s">
        <v>2</v>
      </c>
      <c r="Z16" s="1">
        <f>(((Z12-AD12)^2)/AD12)+(((AA12-AE12)^2)/AE12)+(((Z13-AD13)^2)/AD13)+(((AA13-AE13)^2)/AE13)</f>
        <v>8.8874259381171825</v>
      </c>
    </row>
    <row r="17" spans="2:32" x14ac:dyDescent="0.25">
      <c r="B17" s="27" t="s">
        <v>1</v>
      </c>
      <c r="C17" s="28" t="s">
        <v>13</v>
      </c>
      <c r="D17" s="29" t="s">
        <v>0</v>
      </c>
      <c r="E17" s="29" t="s">
        <v>14</v>
      </c>
      <c r="F17" s="29" t="s">
        <v>39</v>
      </c>
      <c r="G17" s="29" t="s">
        <v>15</v>
      </c>
      <c r="H17" s="29" t="s">
        <v>29</v>
      </c>
      <c r="I17" s="21" t="s">
        <v>42</v>
      </c>
      <c r="J17" s="21" t="s">
        <v>43</v>
      </c>
      <c r="Y17" s="1" t="s">
        <v>18</v>
      </c>
      <c r="Z17" s="1">
        <f>_xlfn.CHISQ.TEST(Z12:AA13,AD12:AE13)</f>
        <v>2.8714126185145103E-3</v>
      </c>
    </row>
    <row r="18" spans="2:32" x14ac:dyDescent="0.25">
      <c r="B18" s="9">
        <v>0</v>
      </c>
      <c r="C18" s="10">
        <f t="shared" ref="C18:C49" si="0">IF(B18="","",100*B18/$E$2)</f>
        <v>0</v>
      </c>
      <c r="D18" s="11">
        <f>IF(ISERROR(B18),"",bsolve($B18,$E$2,$E$4,$E$8,$E$9))</f>
        <v>1.0737418240000151E-21</v>
      </c>
      <c r="E18" s="11">
        <f t="shared" ref="E18:E49" si="1">IF(ISERROR(B18),"",IF(AND($E$7&lt;$E$5,C18&gt;=($E$5*100)),D18,0))</f>
        <v>0</v>
      </c>
      <c r="F18" s="11">
        <f>IF(ISERROR(B18),"",IF(AND($E$7&gt;=$E$5,C18&lt;($E$5*100)),D18,0))</f>
        <v>1.0737418240000151E-21</v>
      </c>
      <c r="G18" s="11" t="str">
        <f t="shared" ref="G18:G49" si="2">IF(ISERROR(B18),"",IF(C18&gt;=$E$5*100,D18,""))</f>
        <v/>
      </c>
      <c r="H18" s="19">
        <f t="shared" ref="H18:H81" si="3">IF(ISERROR(B18),"",100*((B18*(1-$E$9))+($E$2-B18)*$E$8)/$E$2)</f>
        <v>20</v>
      </c>
      <c r="I18" s="21">
        <f>IF(NOT(ISERROR(J18)),B18,0)</f>
        <v>0</v>
      </c>
      <c r="J18" s="21" t="e">
        <f t="shared" ref="J18:J81" si="4">IF(ISERROR(B18),NA(),IF(AND(H18&gt;=$E$5*100,B18/$E$2&lt;$E$5),H18,NA()))</f>
        <v>#N/A</v>
      </c>
    </row>
    <row r="19" spans="2:32" ht="21" x14ac:dyDescent="0.35">
      <c r="B19" s="9">
        <f>IF(ROW()-18&lt;=$E$2,B18+1,"")</f>
        <v>1</v>
      </c>
      <c r="C19" s="10">
        <f t="shared" si="0"/>
        <v>3.3333333333333335</v>
      </c>
      <c r="D19" s="11">
        <f>IF(ISERROR(B19),"",bsolve($B19,$E$2,$E$4,$E$8,$E$9))</f>
        <v>3.1004295168000412E-19</v>
      </c>
      <c r="E19" s="11">
        <f t="shared" si="1"/>
        <v>0</v>
      </c>
      <c r="F19" s="11">
        <f t="shared" ref="F19:F82" si="5">IF(ISERROR(B19),"",IF(AND($E$7&gt;=$E$5,C19&lt;($E$5*100)),D19,0))</f>
        <v>3.1004295168000412E-19</v>
      </c>
      <c r="G19" s="11" t="str">
        <f t="shared" si="2"/>
        <v/>
      </c>
      <c r="H19" s="19">
        <f t="shared" si="3"/>
        <v>22.500000000000004</v>
      </c>
      <c r="I19" s="21">
        <f t="shared" ref="I19:I82" si="6">IF(NOT(ISERROR(J19)),B19,0)</f>
        <v>0</v>
      </c>
      <c r="J19" s="21" t="e">
        <f t="shared" si="4"/>
        <v>#N/A</v>
      </c>
      <c r="M19" s="21" t="str">
        <f>IF(AND(I19=0,I20&gt;0),B19,"")</f>
        <v/>
      </c>
      <c r="Y19" s="16" t="str">
        <f>IF(Z17&gt;0.05,"No significant difference between observed test score and random chance alone.","Significant difference between proportions detected.")</f>
        <v>Significant difference between proportions detected.</v>
      </c>
    </row>
    <row r="20" spans="2:32" x14ac:dyDescent="0.25">
      <c r="B20" s="9">
        <f t="shared" ref="B20:B51" si="7">IF(ROW()-18&lt;=$E$2,B19+1,NA())</f>
        <v>2</v>
      </c>
      <c r="C20" s="10">
        <f t="shared" si="0"/>
        <v>6.666666666666667</v>
      </c>
      <c r="D20" s="11">
        <f>IF(ISERROR(B20),"",bsolve($B20,$E$2,$E$4,$E$8,$E$9))</f>
        <v>4.1854791843840517E-17</v>
      </c>
      <c r="E20" s="11">
        <f t="shared" si="1"/>
        <v>0</v>
      </c>
      <c r="F20" s="11">
        <f t="shared" si="5"/>
        <v>4.1854791843840517E-17</v>
      </c>
      <c r="G20" s="11" t="str">
        <f t="shared" si="2"/>
        <v/>
      </c>
      <c r="H20" s="19">
        <f t="shared" si="3"/>
        <v>25</v>
      </c>
      <c r="I20" s="21">
        <f t="shared" si="6"/>
        <v>0</v>
      </c>
      <c r="J20" s="21" t="e">
        <f t="shared" si="4"/>
        <v>#N/A</v>
      </c>
      <c r="K20" s="21" t="str">
        <f t="shared" ref="K20:K82" si="8">IF(AND(I20=0,I21&gt;0),B20,"")</f>
        <v/>
      </c>
    </row>
    <row r="21" spans="2:32" x14ac:dyDescent="0.25">
      <c r="B21" s="9">
        <f t="shared" si="7"/>
        <v>3</v>
      </c>
      <c r="C21" s="10">
        <f t="shared" si="0"/>
        <v>10</v>
      </c>
      <c r="D21" s="11">
        <f>IF(ISERROR(B21),"",bsolve($B21,$E$2,$E$4,$E$8,$E$9))</f>
        <v>3.5056233585050003E-15</v>
      </c>
      <c r="E21" s="11">
        <f t="shared" si="1"/>
        <v>0</v>
      </c>
      <c r="F21" s="11">
        <f t="shared" si="5"/>
        <v>3.5056233585050003E-15</v>
      </c>
      <c r="G21" s="11" t="str">
        <f t="shared" si="2"/>
        <v/>
      </c>
      <c r="H21" s="19">
        <f t="shared" si="3"/>
        <v>27.5</v>
      </c>
      <c r="I21" s="21">
        <f t="shared" si="6"/>
        <v>0</v>
      </c>
      <c r="J21" s="21" t="e">
        <f t="shared" si="4"/>
        <v>#N/A</v>
      </c>
      <c r="K21" s="21" t="str">
        <f t="shared" si="8"/>
        <v/>
      </c>
      <c r="Y21" s="1" t="s">
        <v>24</v>
      </c>
    </row>
    <row r="22" spans="2:32" ht="21" x14ac:dyDescent="0.35">
      <c r="B22" s="9">
        <f t="shared" si="7"/>
        <v>4</v>
      </c>
      <c r="C22" s="10">
        <f t="shared" si="0"/>
        <v>13.333333333333334</v>
      </c>
      <c r="D22" s="11">
        <f>IF(ISERROR(B22),"",bsolve($B22,$E$2,$E$4,$E$8,$E$9))</f>
        <v>2.0384142078247127E-13</v>
      </c>
      <c r="E22" s="11">
        <f t="shared" si="1"/>
        <v>0</v>
      </c>
      <c r="F22" s="11">
        <f t="shared" si="5"/>
        <v>2.0384142078247127E-13</v>
      </c>
      <c r="G22" s="11" t="str">
        <f t="shared" si="2"/>
        <v/>
      </c>
      <c r="H22" s="19">
        <f t="shared" si="3"/>
        <v>30</v>
      </c>
      <c r="I22" s="21">
        <f t="shared" si="6"/>
        <v>0</v>
      </c>
      <c r="J22" s="21" t="e">
        <f t="shared" si="4"/>
        <v>#N/A</v>
      </c>
      <c r="K22" s="21" t="str">
        <f t="shared" si="8"/>
        <v/>
      </c>
      <c r="M22" s="25" t="s">
        <v>36</v>
      </c>
    </row>
    <row r="23" spans="2:32" x14ac:dyDescent="0.25">
      <c r="B23" s="9">
        <f t="shared" si="7"/>
        <v>5</v>
      </c>
      <c r="C23" s="10">
        <f t="shared" si="0"/>
        <v>16.666666666666668</v>
      </c>
      <c r="D23" s="11">
        <f>IF(ISERROR(B23),"",bsolve($B23,$E$2,$E$4,$E$8,$E$9))</f>
        <v>8.7226034092833014E-12</v>
      </c>
      <c r="E23" s="11">
        <f t="shared" si="1"/>
        <v>0</v>
      </c>
      <c r="F23" s="11">
        <f t="shared" si="5"/>
        <v>8.7226034092833014E-12</v>
      </c>
      <c r="G23" s="11" t="str">
        <f t="shared" si="2"/>
        <v/>
      </c>
      <c r="H23" s="19">
        <f t="shared" si="3"/>
        <v>32.5</v>
      </c>
      <c r="I23" s="21">
        <f t="shared" si="6"/>
        <v>0</v>
      </c>
      <c r="J23" s="21" t="e">
        <f t="shared" si="4"/>
        <v>#N/A</v>
      </c>
      <c r="K23" s="21" t="str">
        <f t="shared" si="8"/>
        <v/>
      </c>
      <c r="Y23" s="1" t="s">
        <v>31</v>
      </c>
      <c r="AD23" s="23"/>
      <c r="AE23" s="23"/>
      <c r="AF23" s="23"/>
    </row>
    <row r="24" spans="2:32" ht="21" x14ac:dyDescent="0.35">
      <c r="B24" s="9">
        <f t="shared" si="7"/>
        <v>6</v>
      </c>
      <c r="C24" s="10">
        <f t="shared" si="0"/>
        <v>20</v>
      </c>
      <c r="D24" s="11">
        <f>IF(ISERROR(B24),"",bsolve($B24,$E$2,$E$4,$E$8,$E$9))</f>
        <v>2.8404592862561153E-10</v>
      </c>
      <c r="E24" s="11">
        <f t="shared" si="1"/>
        <v>0</v>
      </c>
      <c r="F24" s="11">
        <f t="shared" si="5"/>
        <v>2.8404592862561153E-10</v>
      </c>
      <c r="G24" s="11" t="str">
        <f t="shared" si="2"/>
        <v/>
      </c>
      <c r="H24" s="19">
        <f t="shared" si="3"/>
        <v>35</v>
      </c>
      <c r="I24" s="21">
        <f t="shared" si="6"/>
        <v>0</v>
      </c>
      <c r="J24" s="21" t="e">
        <f t="shared" si="4"/>
        <v>#N/A</v>
      </c>
      <c r="K24" s="21" t="str">
        <f t="shared" si="8"/>
        <v/>
      </c>
      <c r="L24" s="30"/>
      <c r="O24" s="30"/>
      <c r="P24" s="30"/>
      <c r="AD24" s="23"/>
      <c r="AE24" s="23"/>
      <c r="AF24" s="23"/>
    </row>
    <row r="25" spans="2:32" x14ac:dyDescent="0.25">
      <c r="B25" s="9">
        <f t="shared" si="7"/>
        <v>7</v>
      </c>
      <c r="C25" s="10">
        <f t="shared" si="0"/>
        <v>23.333333333333332</v>
      </c>
      <c r="D25" s="11">
        <f>IF(ISERROR(B25),"",bsolve($B25,$E$2,$E$4,$E$8,$E$9))</f>
        <v>7.1781094698913652E-9</v>
      </c>
      <c r="E25" s="11">
        <f t="shared" si="1"/>
        <v>0</v>
      </c>
      <c r="F25" s="11">
        <f t="shared" si="5"/>
        <v>7.1781094698913652E-9</v>
      </c>
      <c r="G25" s="11" t="str">
        <f t="shared" si="2"/>
        <v/>
      </c>
      <c r="H25" s="19">
        <f t="shared" si="3"/>
        <v>37.5</v>
      </c>
      <c r="I25" s="21">
        <f t="shared" si="6"/>
        <v>0</v>
      </c>
      <c r="J25" s="21" t="e">
        <f t="shared" si="4"/>
        <v>#N/A</v>
      </c>
      <c r="K25" s="21" t="str">
        <f t="shared" si="8"/>
        <v/>
      </c>
      <c r="Y25" s="20" t="s">
        <v>30</v>
      </c>
      <c r="Z25" s="20">
        <f>E3</f>
        <v>5</v>
      </c>
      <c r="AD25" s="23"/>
      <c r="AE25" s="23"/>
      <c r="AF25" s="23"/>
    </row>
    <row r="26" spans="2:32" x14ac:dyDescent="0.25">
      <c r="B26" s="9">
        <f t="shared" si="7"/>
        <v>8</v>
      </c>
      <c r="C26" s="10">
        <f t="shared" si="0"/>
        <v>26.666666666666668</v>
      </c>
      <c r="D26" s="11">
        <f>IF(ISERROR(B26),"",bsolve($B26,$E$2,$E$4,$E$8,$E$9))</f>
        <v>1.4222626177832358E-7</v>
      </c>
      <c r="E26" s="11">
        <f t="shared" si="1"/>
        <v>0</v>
      </c>
      <c r="F26" s="11">
        <f t="shared" si="5"/>
        <v>1.4222626177832358E-7</v>
      </c>
      <c r="G26" s="11" t="str">
        <f t="shared" si="2"/>
        <v/>
      </c>
      <c r="H26" s="19">
        <f t="shared" si="3"/>
        <v>40</v>
      </c>
      <c r="I26" s="21">
        <f t="shared" si="6"/>
        <v>0</v>
      </c>
      <c r="J26" s="21" t="e">
        <f t="shared" si="4"/>
        <v>#N/A</v>
      </c>
      <c r="K26" s="21" t="str">
        <f t="shared" si="8"/>
        <v/>
      </c>
      <c r="AD26" s="23"/>
      <c r="AE26" s="23"/>
      <c r="AF26" s="23"/>
    </row>
    <row r="27" spans="2:32" x14ac:dyDescent="0.25">
      <c r="B27" s="9">
        <f t="shared" si="7"/>
        <v>9</v>
      </c>
      <c r="C27" s="10">
        <f t="shared" si="0"/>
        <v>30</v>
      </c>
      <c r="D27" s="11">
        <f>IF(ISERROR(B27),"",bsolve($B27,$E$2,$E$4,$E$8,$E$9))</f>
        <v>2.216577470468302E-6</v>
      </c>
      <c r="E27" s="11">
        <f t="shared" si="1"/>
        <v>0</v>
      </c>
      <c r="F27" s="11">
        <f t="shared" si="5"/>
        <v>2.216577470468302E-6</v>
      </c>
      <c r="G27" s="11" t="str">
        <f t="shared" si="2"/>
        <v/>
      </c>
      <c r="H27" s="19">
        <f t="shared" si="3"/>
        <v>42.5</v>
      </c>
      <c r="I27" s="21">
        <f t="shared" si="6"/>
        <v>0</v>
      </c>
      <c r="J27" s="21" t="e">
        <f t="shared" si="4"/>
        <v>#N/A</v>
      </c>
      <c r="K27" s="21" t="str">
        <f t="shared" si="8"/>
        <v/>
      </c>
      <c r="Y27" s="20">
        <v>0</v>
      </c>
      <c r="Z27" s="20">
        <f t="shared" ref="Z27:Z58" si="9">IF(Y27&lt;$Z$25-1,1/($Z$25-Y27),"")</f>
        <v>0.2</v>
      </c>
      <c r="AD27" s="23"/>
      <c r="AE27" s="23"/>
      <c r="AF27" s="23"/>
    </row>
    <row r="28" spans="2:32" x14ac:dyDescent="0.25">
      <c r="B28" s="9">
        <f t="shared" si="7"/>
        <v>10</v>
      </c>
      <c r="C28" s="10">
        <f t="shared" si="0"/>
        <v>33.333333333333336</v>
      </c>
      <c r="D28" s="11">
        <f>IF(ISERROR(B28),"",bsolve($B28,$E$2,$E$4,$E$8,$E$9))</f>
        <v>2.7087734219492343E-5</v>
      </c>
      <c r="E28" s="11">
        <f t="shared" si="1"/>
        <v>0</v>
      </c>
      <c r="F28" s="11">
        <f t="shared" si="5"/>
        <v>2.7087734219492343E-5</v>
      </c>
      <c r="G28" s="11" t="str">
        <f t="shared" si="2"/>
        <v/>
      </c>
      <c r="H28" s="19">
        <f t="shared" si="3"/>
        <v>45</v>
      </c>
      <c r="I28" s="21">
        <f t="shared" si="6"/>
        <v>0</v>
      </c>
      <c r="J28" s="21" t="e">
        <f t="shared" si="4"/>
        <v>#N/A</v>
      </c>
      <c r="K28" s="21" t="str">
        <f t="shared" si="8"/>
        <v/>
      </c>
      <c r="Y28" s="20">
        <v>1</v>
      </c>
      <c r="Z28" s="20">
        <f t="shared" si="9"/>
        <v>0.25</v>
      </c>
      <c r="AD28" s="23"/>
      <c r="AE28" s="23"/>
      <c r="AF28" s="23"/>
    </row>
    <row r="29" spans="2:32" x14ac:dyDescent="0.25">
      <c r="B29" s="9">
        <f t="shared" si="7"/>
        <v>11</v>
      </c>
      <c r="C29" s="10">
        <f t="shared" si="0"/>
        <v>36.666666666666664</v>
      </c>
      <c r="D29" s="11">
        <f>IF(ISERROR(B29),"",bsolve($B29,$E$2,$E$4,$E$8,$E$9))</f>
        <v>2.5711800193684991E-4</v>
      </c>
      <c r="E29" s="11">
        <f t="shared" si="1"/>
        <v>0</v>
      </c>
      <c r="F29" s="11">
        <f t="shared" si="5"/>
        <v>2.5711800193684991E-4</v>
      </c>
      <c r="G29" s="11" t="str">
        <f t="shared" si="2"/>
        <v/>
      </c>
      <c r="H29" s="19">
        <f t="shared" si="3"/>
        <v>47.5</v>
      </c>
      <c r="I29" s="21">
        <f t="shared" si="6"/>
        <v>0</v>
      </c>
      <c r="J29" s="21" t="e">
        <f t="shared" si="4"/>
        <v>#N/A</v>
      </c>
      <c r="K29" s="21">
        <f t="shared" si="8"/>
        <v>11</v>
      </c>
      <c r="Y29" s="20">
        <v>2</v>
      </c>
      <c r="Z29" s="20">
        <f t="shared" si="9"/>
        <v>0.33333333333333331</v>
      </c>
      <c r="AD29" s="23"/>
      <c r="AE29" s="23"/>
      <c r="AF29" s="23"/>
    </row>
    <row r="30" spans="2:32" x14ac:dyDescent="0.25">
      <c r="B30" s="9">
        <f t="shared" si="7"/>
        <v>12</v>
      </c>
      <c r="C30" s="10">
        <f t="shared" si="0"/>
        <v>40</v>
      </c>
      <c r="D30" s="11">
        <f>IF(ISERROR(B30),"",bsolve($B30,$E$2,$E$4,$E$8,$E$9))</f>
        <v>1.8642850749990994E-3</v>
      </c>
      <c r="E30" s="11">
        <f t="shared" si="1"/>
        <v>0</v>
      </c>
      <c r="F30" s="11">
        <f t="shared" si="5"/>
        <v>1.8642850749990994E-3</v>
      </c>
      <c r="G30" s="11" t="str">
        <f t="shared" si="2"/>
        <v/>
      </c>
      <c r="H30" s="19">
        <f t="shared" si="3"/>
        <v>49.999999999999993</v>
      </c>
      <c r="I30" s="21">
        <f t="shared" si="6"/>
        <v>12</v>
      </c>
      <c r="J30" s="21">
        <f t="shared" si="4"/>
        <v>49.999999999999993</v>
      </c>
      <c r="K30" s="21" t="str">
        <f t="shared" si="8"/>
        <v/>
      </c>
      <c r="Y30" s="20">
        <v>3</v>
      </c>
      <c r="Z30" s="20">
        <f t="shared" si="9"/>
        <v>0.5</v>
      </c>
      <c r="AD30" s="23"/>
      <c r="AE30" s="23"/>
      <c r="AF30" s="23"/>
    </row>
    <row r="31" spans="2:32" x14ac:dyDescent="0.25">
      <c r="B31" s="9">
        <f t="shared" si="7"/>
        <v>13</v>
      </c>
      <c r="C31" s="10">
        <f t="shared" si="0"/>
        <v>43.333333333333336</v>
      </c>
      <c r="D31" s="11">
        <f>IF(ISERROR(B31),"",bsolve($B31,$E$2,$E$4,$E$8,$E$9))</f>
        <v>1.0066720211999891E-2</v>
      </c>
      <c r="E31" s="11">
        <f t="shared" si="1"/>
        <v>0</v>
      </c>
      <c r="F31" s="11">
        <f t="shared" si="5"/>
        <v>1.0066720211999891E-2</v>
      </c>
      <c r="G31" s="11" t="str">
        <f t="shared" si="2"/>
        <v/>
      </c>
      <c r="H31" s="19">
        <f t="shared" si="3"/>
        <v>52.5</v>
      </c>
      <c r="I31" s="21">
        <f t="shared" si="6"/>
        <v>13</v>
      </c>
      <c r="J31" s="21">
        <f t="shared" si="4"/>
        <v>52.5</v>
      </c>
      <c r="K31" s="21" t="str">
        <f t="shared" si="8"/>
        <v/>
      </c>
      <c r="Y31" s="20">
        <v>4</v>
      </c>
      <c r="Z31" s="20" t="str">
        <f t="shared" si="9"/>
        <v/>
      </c>
      <c r="AD31" s="23"/>
      <c r="AE31" s="23"/>
      <c r="AF31" s="23"/>
    </row>
    <row r="32" spans="2:32" x14ac:dyDescent="0.25">
      <c r="B32" s="9">
        <f t="shared" si="7"/>
        <v>14</v>
      </c>
      <c r="C32" s="10">
        <f t="shared" si="0"/>
        <v>46.666666666666664</v>
      </c>
      <c r="D32" s="11">
        <f>IF(ISERROR(B32),"",bsolve($B32,$E$2,$E$4,$E$8,$E$9))</f>
        <v>3.9068935862458451E-2</v>
      </c>
      <c r="E32" s="11">
        <f t="shared" si="1"/>
        <v>0</v>
      </c>
      <c r="F32" s="11">
        <f t="shared" si="5"/>
        <v>3.9068935862458451E-2</v>
      </c>
      <c r="G32" s="11" t="str">
        <f t="shared" si="2"/>
        <v/>
      </c>
      <c r="H32" s="19">
        <f t="shared" si="3"/>
        <v>55</v>
      </c>
      <c r="I32" s="21">
        <f t="shared" si="6"/>
        <v>14</v>
      </c>
      <c r="J32" s="21">
        <f t="shared" si="4"/>
        <v>55</v>
      </c>
      <c r="K32" s="21" t="str">
        <f t="shared" si="8"/>
        <v/>
      </c>
      <c r="Y32" s="20">
        <v>5</v>
      </c>
      <c r="Z32" s="20" t="str">
        <f t="shared" si="9"/>
        <v/>
      </c>
      <c r="AD32" s="23"/>
      <c r="AE32" s="23"/>
      <c r="AF32" s="23"/>
    </row>
    <row r="33" spans="2:32" x14ac:dyDescent="0.25">
      <c r="B33" s="9">
        <f t="shared" si="7"/>
        <v>15</v>
      </c>
      <c r="C33" s="10">
        <f t="shared" si="0"/>
        <v>50</v>
      </c>
      <c r="D33" s="11">
        <f>IF(ISERROR(B33),"",bsolve($B33,$E$2,$E$4,$E$8,$E$9))</f>
        <v>0.10433097816475431</v>
      </c>
      <c r="E33" s="11">
        <f t="shared" si="1"/>
        <v>0</v>
      </c>
      <c r="F33" s="11">
        <f t="shared" si="5"/>
        <v>0</v>
      </c>
      <c r="G33" s="11">
        <f t="shared" si="2"/>
        <v>0.10433097816475431</v>
      </c>
      <c r="H33" s="19">
        <f t="shared" si="3"/>
        <v>57.5</v>
      </c>
      <c r="I33" s="21">
        <f t="shared" si="6"/>
        <v>0</v>
      </c>
      <c r="J33" s="21" t="e">
        <f t="shared" si="4"/>
        <v>#N/A</v>
      </c>
      <c r="K33" s="21" t="str">
        <f t="shared" si="8"/>
        <v/>
      </c>
      <c r="Y33" s="20">
        <v>6</v>
      </c>
      <c r="Z33" s="20" t="str">
        <f t="shared" si="9"/>
        <v/>
      </c>
      <c r="AD33" s="23"/>
      <c r="AE33" s="23"/>
      <c r="AF33" s="23"/>
    </row>
    <row r="34" spans="2:32" x14ac:dyDescent="0.25">
      <c r="B34" s="9">
        <f t="shared" si="7"/>
        <v>16</v>
      </c>
      <c r="C34" s="10">
        <f t="shared" si="0"/>
        <v>53.333333333333336</v>
      </c>
      <c r="D34" s="11">
        <f>IF(ISERROR(B34),"",bsolve($B34,$E$2,$E$4,$E$8,$E$9))</f>
        <v>0.18557744534667747</v>
      </c>
      <c r="E34" s="11">
        <f t="shared" si="1"/>
        <v>0</v>
      </c>
      <c r="F34" s="11">
        <f t="shared" si="5"/>
        <v>0</v>
      </c>
      <c r="G34" s="11">
        <f t="shared" si="2"/>
        <v>0.18557744534667747</v>
      </c>
      <c r="H34" s="19">
        <f t="shared" si="3"/>
        <v>60</v>
      </c>
      <c r="I34" s="21">
        <f t="shared" si="6"/>
        <v>0</v>
      </c>
      <c r="J34" s="21" t="e">
        <f t="shared" si="4"/>
        <v>#N/A</v>
      </c>
      <c r="K34" s="21" t="str">
        <f t="shared" si="8"/>
        <v/>
      </c>
      <c r="Y34" s="20">
        <v>7</v>
      </c>
      <c r="Z34" s="20" t="str">
        <f t="shared" si="9"/>
        <v/>
      </c>
      <c r="AD34" s="23"/>
      <c r="AE34" s="23"/>
      <c r="AF34" s="23"/>
    </row>
    <row r="35" spans="2:32" x14ac:dyDescent="0.25">
      <c r="B35" s="9">
        <f t="shared" si="7"/>
        <v>17</v>
      </c>
      <c r="C35" s="10">
        <f t="shared" si="0"/>
        <v>56.666666666666664</v>
      </c>
      <c r="D35" s="11">
        <f>IF(ISERROR(B35),"",bsolve($B35,$E$2,$E$4,$E$8,$E$9))</f>
        <v>0.2271303747832471</v>
      </c>
      <c r="E35" s="11">
        <f t="shared" si="1"/>
        <v>0</v>
      </c>
      <c r="F35" s="11">
        <f t="shared" si="5"/>
        <v>0</v>
      </c>
      <c r="G35" s="11">
        <f t="shared" si="2"/>
        <v>0.2271303747832471</v>
      </c>
      <c r="H35" s="19">
        <f t="shared" si="3"/>
        <v>62.5</v>
      </c>
      <c r="I35" s="21">
        <f t="shared" si="6"/>
        <v>0</v>
      </c>
      <c r="J35" s="21" t="e">
        <f t="shared" si="4"/>
        <v>#N/A</v>
      </c>
      <c r="K35" s="21" t="str">
        <f t="shared" si="8"/>
        <v/>
      </c>
      <c r="Y35" s="20">
        <v>8</v>
      </c>
      <c r="Z35" s="20" t="str">
        <f t="shared" si="9"/>
        <v/>
      </c>
      <c r="AD35" s="23"/>
      <c r="AE35" s="23"/>
      <c r="AF35" s="23"/>
    </row>
    <row r="36" spans="2:32" x14ac:dyDescent="0.25">
      <c r="B36" s="9">
        <f t="shared" si="7"/>
        <v>18</v>
      </c>
      <c r="C36" s="10">
        <f t="shared" si="0"/>
        <v>60</v>
      </c>
      <c r="D36" s="11">
        <f>IF(ISERROR(B36),"",bsolve($B36,$E$2,$E$4,$E$8,$E$9))</f>
        <v>0.19979892702216856</v>
      </c>
      <c r="E36" s="11">
        <f t="shared" si="1"/>
        <v>0</v>
      </c>
      <c r="F36" s="11">
        <f t="shared" si="5"/>
        <v>0</v>
      </c>
      <c r="G36" s="11">
        <f t="shared" si="2"/>
        <v>0.19979892702216856</v>
      </c>
      <c r="H36" s="19">
        <f t="shared" si="3"/>
        <v>65</v>
      </c>
      <c r="I36" s="21">
        <f t="shared" si="6"/>
        <v>0</v>
      </c>
      <c r="J36" s="21" t="e">
        <f t="shared" si="4"/>
        <v>#N/A</v>
      </c>
      <c r="K36" s="21" t="str">
        <f t="shared" si="8"/>
        <v/>
      </c>
      <c r="Y36" s="20">
        <v>9</v>
      </c>
      <c r="Z36" s="20" t="str">
        <f t="shared" si="9"/>
        <v/>
      </c>
      <c r="AD36" s="23"/>
      <c r="AE36" s="23"/>
      <c r="AF36" s="23"/>
    </row>
    <row r="37" spans="2:32" x14ac:dyDescent="0.25">
      <c r="B37" s="9">
        <f t="shared" si="7"/>
        <v>19</v>
      </c>
      <c r="C37" s="10">
        <f t="shared" si="0"/>
        <v>63.333333333333336</v>
      </c>
      <c r="D37" s="11">
        <f>IF(ISERROR(B37),"",bsolve($B37,$E$2,$E$4,$E$8,$E$9))</f>
        <v>0.13089013722817222</v>
      </c>
      <c r="E37" s="11">
        <f t="shared" si="1"/>
        <v>0</v>
      </c>
      <c r="F37" s="11">
        <f t="shared" si="5"/>
        <v>0</v>
      </c>
      <c r="G37" s="11">
        <f t="shared" si="2"/>
        <v>0.13089013722817222</v>
      </c>
      <c r="H37" s="19">
        <f t="shared" si="3"/>
        <v>67.5</v>
      </c>
      <c r="I37" s="21">
        <f t="shared" si="6"/>
        <v>0</v>
      </c>
      <c r="J37" s="21" t="e">
        <f t="shared" si="4"/>
        <v>#N/A</v>
      </c>
      <c r="K37" s="21" t="str">
        <f t="shared" si="8"/>
        <v/>
      </c>
      <c r="Y37" s="20">
        <v>10</v>
      </c>
      <c r="Z37" s="20" t="str">
        <f t="shared" si="9"/>
        <v/>
      </c>
      <c r="AD37" s="23"/>
      <c r="AE37" s="23"/>
      <c r="AF37" s="23"/>
    </row>
    <row r="38" spans="2:32" x14ac:dyDescent="0.25">
      <c r="B38" s="9">
        <f t="shared" si="7"/>
        <v>20</v>
      </c>
      <c r="C38" s="10">
        <f t="shared" si="0"/>
        <v>66.666666666666671</v>
      </c>
      <c r="D38" s="11">
        <f>IF(ISERROR(B38),"",bsolve($B38,$E$2,$E$4,$E$8,$E$9))</f>
        <v>6.5499913684717248E-2</v>
      </c>
      <c r="E38" s="11">
        <f t="shared" si="1"/>
        <v>0</v>
      </c>
      <c r="F38" s="11">
        <f t="shared" si="5"/>
        <v>0</v>
      </c>
      <c r="G38" s="11">
        <f t="shared" si="2"/>
        <v>6.5499913684717248E-2</v>
      </c>
      <c r="H38" s="19">
        <f t="shared" si="3"/>
        <v>70</v>
      </c>
      <c r="I38" s="21">
        <f t="shared" si="6"/>
        <v>0</v>
      </c>
      <c r="J38" s="21" t="e">
        <f t="shared" si="4"/>
        <v>#N/A</v>
      </c>
      <c r="K38" s="21" t="str">
        <f t="shared" si="8"/>
        <v/>
      </c>
      <c r="Y38" s="20">
        <v>11</v>
      </c>
      <c r="Z38" s="20" t="str">
        <f t="shared" si="9"/>
        <v/>
      </c>
      <c r="AD38" s="23"/>
      <c r="AE38" s="23"/>
      <c r="AF38" s="23"/>
    </row>
    <row r="39" spans="2:32" x14ac:dyDescent="0.25">
      <c r="B39" s="9">
        <f t="shared" si="7"/>
        <v>21</v>
      </c>
      <c r="C39" s="10">
        <f t="shared" si="0"/>
        <v>70</v>
      </c>
      <c r="D39" s="11">
        <f>IF(ISERROR(B39),"",bsolve($B39,$E$2,$E$4,$E$8,$E$9))</f>
        <v>2.5459189429426796E-2</v>
      </c>
      <c r="E39" s="11">
        <f t="shared" si="1"/>
        <v>0</v>
      </c>
      <c r="F39" s="11">
        <f t="shared" si="5"/>
        <v>0</v>
      </c>
      <c r="G39" s="11">
        <f t="shared" si="2"/>
        <v>2.5459189429426796E-2</v>
      </c>
      <c r="H39" s="19">
        <f t="shared" si="3"/>
        <v>72.5</v>
      </c>
      <c r="I39" s="21">
        <f t="shared" si="6"/>
        <v>0</v>
      </c>
      <c r="J39" s="21" t="e">
        <f t="shared" si="4"/>
        <v>#N/A</v>
      </c>
      <c r="K39" s="21" t="str">
        <f t="shared" si="8"/>
        <v/>
      </c>
      <c r="Y39" s="20">
        <v>12</v>
      </c>
      <c r="Z39" s="20" t="str">
        <f t="shared" si="9"/>
        <v/>
      </c>
      <c r="AD39" s="23"/>
      <c r="AE39" s="23"/>
      <c r="AF39" s="23"/>
    </row>
    <row r="40" spans="2:32" x14ac:dyDescent="0.25">
      <c r="B40" s="9">
        <f t="shared" si="7"/>
        <v>22</v>
      </c>
      <c r="C40" s="10">
        <f t="shared" si="0"/>
        <v>73.333333333333329</v>
      </c>
      <c r="D40" s="11">
        <f>IF(ISERROR(B40),"",bsolve($B40,$E$2,$E$4,$E$8,$E$9))</f>
        <v>7.7595236784215411E-3</v>
      </c>
      <c r="E40" s="11">
        <f t="shared" si="1"/>
        <v>0</v>
      </c>
      <c r="F40" s="11">
        <f t="shared" si="5"/>
        <v>0</v>
      </c>
      <c r="G40" s="11">
        <f t="shared" si="2"/>
        <v>7.7595236784215411E-3</v>
      </c>
      <c r="H40" s="19">
        <f t="shared" si="3"/>
        <v>75</v>
      </c>
      <c r="I40" s="21">
        <f t="shared" si="6"/>
        <v>0</v>
      </c>
      <c r="J40" s="21" t="e">
        <f t="shared" si="4"/>
        <v>#N/A</v>
      </c>
      <c r="K40" s="21" t="str">
        <f t="shared" si="8"/>
        <v/>
      </c>
      <c r="Y40" s="20">
        <v>13</v>
      </c>
      <c r="Z40" s="20" t="str">
        <f t="shared" si="9"/>
        <v/>
      </c>
      <c r="AD40" s="23"/>
      <c r="AE40" s="23"/>
      <c r="AF40" s="23"/>
    </row>
    <row r="41" spans="2:32" x14ac:dyDescent="0.25">
      <c r="B41" s="9">
        <f t="shared" si="7"/>
        <v>23</v>
      </c>
      <c r="C41" s="10">
        <f t="shared" si="0"/>
        <v>76.666666666666671</v>
      </c>
      <c r="D41" s="11">
        <f>IF(ISERROR(B41),"",bsolve($B41,$E$2,$E$4,$E$8,$E$9))</f>
        <v>1.8601970626388271E-3</v>
      </c>
      <c r="E41" s="11">
        <f t="shared" si="1"/>
        <v>0</v>
      </c>
      <c r="F41" s="11">
        <f t="shared" si="5"/>
        <v>0</v>
      </c>
      <c r="G41" s="11">
        <f t="shared" si="2"/>
        <v>1.8601970626388271E-3</v>
      </c>
      <c r="H41" s="19">
        <f t="shared" si="3"/>
        <v>77.499999999999986</v>
      </c>
      <c r="I41" s="21">
        <f t="shared" si="6"/>
        <v>0</v>
      </c>
      <c r="J41" s="21" t="e">
        <f t="shared" si="4"/>
        <v>#N/A</v>
      </c>
      <c r="K41" s="21" t="str">
        <f t="shared" si="8"/>
        <v/>
      </c>
      <c r="Y41" s="20">
        <v>14</v>
      </c>
      <c r="Z41" s="20" t="str">
        <f t="shared" si="9"/>
        <v/>
      </c>
      <c r="AD41" s="23"/>
      <c r="AE41" s="23"/>
      <c r="AF41" s="23"/>
    </row>
    <row r="42" spans="2:32" x14ac:dyDescent="0.25">
      <c r="B42" s="9">
        <f t="shared" si="7"/>
        <v>24</v>
      </c>
      <c r="C42" s="10">
        <f t="shared" si="0"/>
        <v>80</v>
      </c>
      <c r="D42" s="11">
        <f>IF(ISERROR(B42),"",bsolve($B42,$E$2,$E$4,$E$8,$E$9))</f>
        <v>3.4964800556829825E-4</v>
      </c>
      <c r="E42" s="11">
        <f t="shared" si="1"/>
        <v>0</v>
      </c>
      <c r="F42" s="11">
        <f t="shared" si="5"/>
        <v>0</v>
      </c>
      <c r="G42" s="11">
        <f t="shared" si="2"/>
        <v>3.4964800556829825E-4</v>
      </c>
      <c r="H42" s="19">
        <f t="shared" si="3"/>
        <v>79.999999999999986</v>
      </c>
      <c r="I42" s="21">
        <f t="shared" si="6"/>
        <v>0</v>
      </c>
      <c r="J42" s="21" t="e">
        <f t="shared" si="4"/>
        <v>#N/A</v>
      </c>
      <c r="K42" s="21" t="str">
        <f t="shared" si="8"/>
        <v/>
      </c>
      <c r="Y42" s="20">
        <v>15</v>
      </c>
      <c r="Z42" s="20" t="str">
        <f t="shared" si="9"/>
        <v/>
      </c>
      <c r="AD42" s="23"/>
      <c r="AE42" s="23"/>
      <c r="AF42" s="23"/>
    </row>
    <row r="43" spans="2:32" x14ac:dyDescent="0.25">
      <c r="B43" s="9">
        <f t="shared" si="7"/>
        <v>25</v>
      </c>
      <c r="C43" s="10">
        <f t="shared" si="0"/>
        <v>83.333333333333329</v>
      </c>
      <c r="D43" s="11">
        <f>IF(ISERROR(B43),"",bsolve($B43,$E$2,$E$4,$E$8,$E$9))</f>
        <v>5.1001414721332859E-5</v>
      </c>
      <c r="E43" s="11">
        <f t="shared" si="1"/>
        <v>0</v>
      </c>
      <c r="F43" s="11">
        <f t="shared" si="5"/>
        <v>0</v>
      </c>
      <c r="G43" s="11">
        <f t="shared" si="2"/>
        <v>5.1001414721332859E-5</v>
      </c>
      <c r="H43" s="19">
        <f t="shared" si="3"/>
        <v>82.5</v>
      </c>
      <c r="I43" s="21">
        <f t="shared" si="6"/>
        <v>0</v>
      </c>
      <c r="J43" s="21" t="e">
        <f t="shared" si="4"/>
        <v>#N/A</v>
      </c>
      <c r="K43" s="21" t="str">
        <f t="shared" si="8"/>
        <v/>
      </c>
      <c r="Y43" s="20">
        <v>16</v>
      </c>
      <c r="Z43" s="20" t="str">
        <f t="shared" si="9"/>
        <v/>
      </c>
      <c r="AD43" s="23"/>
      <c r="AE43" s="23"/>
      <c r="AF43" s="23"/>
    </row>
    <row r="44" spans="2:32" x14ac:dyDescent="0.25">
      <c r="B44" s="9">
        <f t="shared" si="7"/>
        <v>26</v>
      </c>
      <c r="C44" s="10">
        <f t="shared" si="0"/>
        <v>86.666666666666671</v>
      </c>
      <c r="D44" s="11">
        <f>IF(ISERROR(B44),"",bsolve($B44,$E$2,$E$4,$E$8,$E$9))</f>
        <v>5.6613778784586507E-6</v>
      </c>
      <c r="E44" s="11">
        <f t="shared" si="1"/>
        <v>0</v>
      </c>
      <c r="F44" s="11">
        <f t="shared" si="5"/>
        <v>0</v>
      </c>
      <c r="G44" s="11">
        <f t="shared" si="2"/>
        <v>5.6613778784586507E-6</v>
      </c>
      <c r="H44" s="19">
        <f t="shared" si="3"/>
        <v>85</v>
      </c>
      <c r="I44" s="21">
        <f t="shared" si="6"/>
        <v>0</v>
      </c>
      <c r="J44" s="21" t="e">
        <f t="shared" si="4"/>
        <v>#N/A</v>
      </c>
      <c r="K44" s="21" t="str">
        <f t="shared" si="8"/>
        <v/>
      </c>
      <c r="Y44" s="20">
        <v>17</v>
      </c>
      <c r="Z44" s="20" t="str">
        <f t="shared" si="9"/>
        <v/>
      </c>
      <c r="AD44" s="23"/>
      <c r="AE44" s="23"/>
      <c r="AF44" s="23"/>
    </row>
    <row r="45" spans="2:32" x14ac:dyDescent="0.25">
      <c r="B45" s="9">
        <f t="shared" si="7"/>
        <v>27</v>
      </c>
      <c r="C45" s="10">
        <f t="shared" si="0"/>
        <v>90</v>
      </c>
      <c r="D45" s="11">
        <f>IF(ISERROR(B45),"",bsolve($B45,$E$2,$E$4,$E$8,$E$9))</f>
        <v>4.6247532844578326E-7</v>
      </c>
      <c r="E45" s="11">
        <f t="shared" si="1"/>
        <v>0</v>
      </c>
      <c r="F45" s="11">
        <f t="shared" si="5"/>
        <v>0</v>
      </c>
      <c r="G45" s="11">
        <f t="shared" si="2"/>
        <v>4.6247532844578326E-7</v>
      </c>
      <c r="H45" s="19">
        <f t="shared" si="3"/>
        <v>87.5</v>
      </c>
      <c r="I45" s="21">
        <f t="shared" si="6"/>
        <v>0</v>
      </c>
      <c r="J45" s="21" t="e">
        <f t="shared" si="4"/>
        <v>#N/A</v>
      </c>
      <c r="K45" s="21" t="str">
        <f t="shared" si="8"/>
        <v/>
      </c>
      <c r="Y45" s="20">
        <v>18</v>
      </c>
      <c r="Z45" s="20" t="str">
        <f t="shared" si="9"/>
        <v/>
      </c>
      <c r="AD45" s="23"/>
      <c r="AE45" s="23"/>
      <c r="AF45" s="23"/>
    </row>
    <row r="46" spans="2:32" x14ac:dyDescent="0.25">
      <c r="B46" s="9">
        <f t="shared" si="7"/>
        <v>28</v>
      </c>
      <c r="C46" s="10">
        <f t="shared" si="0"/>
        <v>93.333333333333329</v>
      </c>
      <c r="D46" s="11">
        <f>IF(ISERROR(B46),"",bsolve($B46,$E$2,$E$4,$E$8,$E$9))</f>
        <v>2.6227814990657801E-8</v>
      </c>
      <c r="E46" s="11">
        <f t="shared" si="1"/>
        <v>0</v>
      </c>
      <c r="F46" s="11">
        <f t="shared" si="5"/>
        <v>0</v>
      </c>
      <c r="G46" s="11">
        <f t="shared" si="2"/>
        <v>2.6227814990657801E-8</v>
      </c>
      <c r="H46" s="19">
        <f t="shared" si="3"/>
        <v>89.999999999999986</v>
      </c>
      <c r="I46" s="21">
        <f t="shared" si="6"/>
        <v>0</v>
      </c>
      <c r="J46" s="21" t="e">
        <f t="shared" si="4"/>
        <v>#N/A</v>
      </c>
      <c r="K46" s="21" t="str">
        <f t="shared" si="8"/>
        <v/>
      </c>
      <c r="Y46" s="20">
        <v>19</v>
      </c>
      <c r="Z46" s="20" t="str">
        <f t="shared" si="9"/>
        <v/>
      </c>
      <c r="AD46" s="23"/>
      <c r="AE46" s="23"/>
      <c r="AF46" s="23"/>
    </row>
    <row r="47" spans="2:32" x14ac:dyDescent="0.25">
      <c r="B47" s="9">
        <f t="shared" si="7"/>
        <v>29</v>
      </c>
      <c r="C47" s="10">
        <f t="shared" si="0"/>
        <v>96.666666666666671</v>
      </c>
      <c r="D47" s="11">
        <f>IF(ISERROR(B47),"",bsolve($B47,$E$2,$E$4,$E$8,$E$9))</f>
        <v>9.2285272207923127E-10</v>
      </c>
      <c r="E47" s="11">
        <f t="shared" si="1"/>
        <v>0</v>
      </c>
      <c r="F47" s="11">
        <f t="shared" si="5"/>
        <v>0</v>
      </c>
      <c r="G47" s="11">
        <f t="shared" si="2"/>
        <v>9.2285272207923127E-10</v>
      </c>
      <c r="H47" s="19">
        <f t="shared" si="3"/>
        <v>92.499999999999986</v>
      </c>
      <c r="I47" s="21">
        <f t="shared" si="6"/>
        <v>0</v>
      </c>
      <c r="J47" s="21" t="e">
        <f t="shared" si="4"/>
        <v>#N/A</v>
      </c>
      <c r="K47" s="21" t="str">
        <f t="shared" si="8"/>
        <v/>
      </c>
      <c r="Y47" s="20">
        <v>20</v>
      </c>
      <c r="Z47" s="20" t="str">
        <f t="shared" si="9"/>
        <v/>
      </c>
      <c r="AD47" s="23"/>
      <c r="AE47" s="23"/>
      <c r="AF47" s="23"/>
    </row>
    <row r="48" spans="2:32" x14ac:dyDescent="0.25">
      <c r="B48" s="9">
        <f t="shared" si="7"/>
        <v>30</v>
      </c>
      <c r="C48" s="10">
        <f t="shared" si="0"/>
        <v>100</v>
      </c>
      <c r="D48" s="11">
        <f>IF(ISERROR(B48),"",bsolve($B48,$E$2,$E$4,$E$8,$E$9))</f>
        <v>1.5181127029874801E-11</v>
      </c>
      <c r="E48" s="11">
        <f t="shared" si="1"/>
        <v>0</v>
      </c>
      <c r="F48" s="11">
        <f t="shared" si="5"/>
        <v>0</v>
      </c>
      <c r="G48" s="11">
        <f t="shared" si="2"/>
        <v>1.5181127029874801E-11</v>
      </c>
      <c r="H48" s="19">
        <f t="shared" si="3"/>
        <v>95</v>
      </c>
      <c r="I48" s="21">
        <f t="shared" si="6"/>
        <v>0</v>
      </c>
      <c r="J48" s="21" t="e">
        <f t="shared" si="4"/>
        <v>#N/A</v>
      </c>
      <c r="K48" s="21" t="str">
        <f t="shared" si="8"/>
        <v/>
      </c>
      <c r="Y48" s="20">
        <v>21</v>
      </c>
      <c r="Z48" s="20" t="str">
        <f t="shared" si="9"/>
        <v/>
      </c>
      <c r="AD48" s="23"/>
      <c r="AE48" s="23"/>
      <c r="AF48" s="23"/>
    </row>
    <row r="49" spans="2:32" x14ac:dyDescent="0.25">
      <c r="B49" s="9" t="e">
        <f t="shared" si="7"/>
        <v>#N/A</v>
      </c>
      <c r="C49" s="10" t="e">
        <f t="shared" si="0"/>
        <v>#N/A</v>
      </c>
      <c r="D49" s="11" t="str">
        <f>IF(ISERROR(B49),"",bsolve($B49,$E$2,$E$4,$E$8,$E$9))</f>
        <v/>
      </c>
      <c r="E49" s="11" t="str">
        <f t="shared" si="1"/>
        <v/>
      </c>
      <c r="F49" s="11" t="str">
        <f t="shared" si="5"/>
        <v/>
      </c>
      <c r="G49" s="11" t="str">
        <f t="shared" si="2"/>
        <v/>
      </c>
      <c r="H49" s="19" t="str">
        <f t="shared" si="3"/>
        <v/>
      </c>
      <c r="I49" s="21">
        <f t="shared" si="6"/>
        <v>0</v>
      </c>
      <c r="J49" s="21" t="e">
        <f t="shared" si="4"/>
        <v>#N/A</v>
      </c>
      <c r="K49" s="21" t="str">
        <f t="shared" si="8"/>
        <v/>
      </c>
      <c r="Y49" s="20">
        <v>22</v>
      </c>
      <c r="Z49" s="20" t="str">
        <f t="shared" si="9"/>
        <v/>
      </c>
      <c r="AD49" s="23"/>
      <c r="AE49" s="23"/>
      <c r="AF49" s="23"/>
    </row>
    <row r="50" spans="2:32" x14ac:dyDescent="0.25">
      <c r="B50" s="9" t="e">
        <f t="shared" si="7"/>
        <v>#N/A</v>
      </c>
      <c r="C50" s="10" t="e">
        <f t="shared" ref="C50:C81" si="10">IF(B50="","",100*B50/$E$2)</f>
        <v>#N/A</v>
      </c>
      <c r="D50" s="11" t="str">
        <f>IF(ISERROR(B50),"",bsolve($B50,$E$2,$E$4,$E$8,$E$9))</f>
        <v/>
      </c>
      <c r="E50" s="11" t="str">
        <f t="shared" ref="E50:E81" si="11">IF(ISERROR(B50),"",IF(AND($E$7&lt;$E$5,C50&gt;=($E$5*100)),D50,0))</f>
        <v/>
      </c>
      <c r="F50" s="11" t="str">
        <f t="shared" si="5"/>
        <v/>
      </c>
      <c r="G50" s="11" t="str">
        <f t="shared" ref="G50:G81" si="12">IF(ISERROR(B50),"",IF(C50&gt;=$E$5*100,D50,""))</f>
        <v/>
      </c>
      <c r="H50" s="19" t="str">
        <f t="shared" si="3"/>
        <v/>
      </c>
      <c r="I50" s="21">
        <f t="shared" si="6"/>
        <v>0</v>
      </c>
      <c r="J50" s="21" t="e">
        <f t="shared" si="4"/>
        <v>#N/A</v>
      </c>
      <c r="K50" s="21" t="str">
        <f t="shared" si="8"/>
        <v/>
      </c>
      <c r="Y50" s="20">
        <v>23</v>
      </c>
      <c r="Z50" s="20" t="str">
        <f t="shared" si="9"/>
        <v/>
      </c>
      <c r="AD50" s="23"/>
      <c r="AE50" s="23"/>
      <c r="AF50" s="23"/>
    </row>
    <row r="51" spans="2:32" x14ac:dyDescent="0.25">
      <c r="B51" s="9" t="e">
        <f t="shared" si="7"/>
        <v>#N/A</v>
      </c>
      <c r="C51" s="10" t="e">
        <f t="shared" si="10"/>
        <v>#N/A</v>
      </c>
      <c r="D51" s="11" t="str">
        <f>IF(ISERROR(B51),"",bsolve($B51,$E$2,$E$4,$E$8,$E$9))</f>
        <v/>
      </c>
      <c r="E51" s="11" t="str">
        <f t="shared" si="11"/>
        <v/>
      </c>
      <c r="F51" s="11" t="str">
        <f t="shared" si="5"/>
        <v/>
      </c>
      <c r="G51" s="11" t="str">
        <f t="shared" si="12"/>
        <v/>
      </c>
      <c r="H51" s="19" t="str">
        <f t="shared" si="3"/>
        <v/>
      </c>
      <c r="I51" s="21">
        <f t="shared" si="6"/>
        <v>0</v>
      </c>
      <c r="J51" s="21" t="e">
        <f t="shared" si="4"/>
        <v>#N/A</v>
      </c>
      <c r="K51" s="21" t="str">
        <f t="shared" si="8"/>
        <v/>
      </c>
      <c r="Y51" s="20">
        <v>24</v>
      </c>
      <c r="Z51" s="20" t="str">
        <f t="shared" si="9"/>
        <v/>
      </c>
      <c r="AD51" s="23"/>
      <c r="AE51" s="23"/>
      <c r="AF51" s="23"/>
    </row>
    <row r="52" spans="2:32" x14ac:dyDescent="0.25">
      <c r="B52" s="9" t="e">
        <f t="shared" ref="B52:B83" si="13">IF(ROW()-18&lt;=$E$2,B51+1,NA())</f>
        <v>#N/A</v>
      </c>
      <c r="C52" s="10" t="e">
        <f t="shared" si="10"/>
        <v>#N/A</v>
      </c>
      <c r="D52" s="11" t="str">
        <f>IF(ISERROR(B52),"",bsolve($B52,$E$2,$E$4,$E$8,$E$9))</f>
        <v/>
      </c>
      <c r="E52" s="11" t="str">
        <f t="shared" si="11"/>
        <v/>
      </c>
      <c r="F52" s="11" t="str">
        <f t="shared" si="5"/>
        <v/>
      </c>
      <c r="G52" s="11" t="str">
        <f t="shared" si="12"/>
        <v/>
      </c>
      <c r="H52" s="19" t="str">
        <f t="shared" si="3"/>
        <v/>
      </c>
      <c r="I52" s="21">
        <f t="shared" si="6"/>
        <v>0</v>
      </c>
      <c r="J52" s="21" t="e">
        <f t="shared" si="4"/>
        <v>#N/A</v>
      </c>
      <c r="K52" s="21" t="str">
        <f t="shared" si="8"/>
        <v/>
      </c>
      <c r="Y52" s="20">
        <v>25</v>
      </c>
      <c r="Z52" s="20" t="str">
        <f t="shared" si="9"/>
        <v/>
      </c>
      <c r="AD52" s="23"/>
      <c r="AE52" s="23"/>
      <c r="AF52" s="23"/>
    </row>
    <row r="53" spans="2:32" x14ac:dyDescent="0.25">
      <c r="B53" s="9" t="e">
        <f t="shared" si="13"/>
        <v>#N/A</v>
      </c>
      <c r="C53" s="10" t="e">
        <f t="shared" si="10"/>
        <v>#N/A</v>
      </c>
      <c r="D53" s="11" t="str">
        <f>IF(ISERROR(B53),"",bsolve($B53,$E$2,$E$4,$E$8,$E$9))</f>
        <v/>
      </c>
      <c r="E53" s="11" t="str">
        <f t="shared" si="11"/>
        <v/>
      </c>
      <c r="F53" s="11" t="str">
        <f t="shared" si="5"/>
        <v/>
      </c>
      <c r="G53" s="11" t="str">
        <f t="shared" si="12"/>
        <v/>
      </c>
      <c r="H53" s="19" t="str">
        <f t="shared" si="3"/>
        <v/>
      </c>
      <c r="I53" s="21">
        <f t="shared" si="6"/>
        <v>0</v>
      </c>
      <c r="J53" s="21" t="e">
        <f t="shared" si="4"/>
        <v>#N/A</v>
      </c>
      <c r="K53" s="21" t="str">
        <f t="shared" si="8"/>
        <v/>
      </c>
      <c r="Y53" s="20">
        <v>26</v>
      </c>
      <c r="Z53" s="20" t="str">
        <f t="shared" si="9"/>
        <v/>
      </c>
      <c r="AD53" s="23"/>
      <c r="AE53" s="23"/>
      <c r="AF53" s="23"/>
    </row>
    <row r="54" spans="2:32" x14ac:dyDescent="0.25">
      <c r="B54" s="9" t="e">
        <f t="shared" si="13"/>
        <v>#N/A</v>
      </c>
      <c r="C54" s="10" t="e">
        <f t="shared" si="10"/>
        <v>#N/A</v>
      </c>
      <c r="D54" s="11" t="str">
        <f>IF(ISERROR(B54),"",bsolve($B54,$E$2,$E$4,$E$8,$E$9))</f>
        <v/>
      </c>
      <c r="E54" s="11" t="str">
        <f t="shared" si="11"/>
        <v/>
      </c>
      <c r="F54" s="11" t="str">
        <f t="shared" si="5"/>
        <v/>
      </c>
      <c r="G54" s="11" t="str">
        <f t="shared" si="12"/>
        <v/>
      </c>
      <c r="H54" s="19" t="str">
        <f t="shared" si="3"/>
        <v/>
      </c>
      <c r="I54" s="21">
        <f t="shared" si="6"/>
        <v>0</v>
      </c>
      <c r="J54" s="21" t="e">
        <f t="shared" si="4"/>
        <v>#N/A</v>
      </c>
      <c r="K54" s="21" t="str">
        <f t="shared" si="8"/>
        <v/>
      </c>
      <c r="Y54" s="20">
        <v>27</v>
      </c>
      <c r="Z54" s="20" t="str">
        <f t="shared" si="9"/>
        <v/>
      </c>
      <c r="AD54" s="23"/>
      <c r="AE54" s="23"/>
      <c r="AF54" s="23"/>
    </row>
    <row r="55" spans="2:32" x14ac:dyDescent="0.25">
      <c r="B55" s="9" t="e">
        <f t="shared" si="13"/>
        <v>#N/A</v>
      </c>
      <c r="C55" s="10" t="e">
        <f t="shared" si="10"/>
        <v>#N/A</v>
      </c>
      <c r="D55" s="11" t="str">
        <f>IF(ISERROR(B55),"",bsolve($B55,$E$2,$E$4,$E$8,$E$9))</f>
        <v/>
      </c>
      <c r="E55" s="11" t="str">
        <f t="shared" si="11"/>
        <v/>
      </c>
      <c r="F55" s="11" t="str">
        <f t="shared" si="5"/>
        <v/>
      </c>
      <c r="G55" s="11" t="str">
        <f t="shared" si="12"/>
        <v/>
      </c>
      <c r="H55" s="19" t="str">
        <f t="shared" si="3"/>
        <v/>
      </c>
      <c r="I55" s="21">
        <f t="shared" si="6"/>
        <v>0</v>
      </c>
      <c r="J55" s="21" t="e">
        <f t="shared" si="4"/>
        <v>#N/A</v>
      </c>
      <c r="K55" s="21" t="str">
        <f t="shared" si="8"/>
        <v/>
      </c>
      <c r="Y55" s="20">
        <v>28</v>
      </c>
      <c r="Z55" s="20" t="str">
        <f t="shared" si="9"/>
        <v/>
      </c>
      <c r="AD55" s="23"/>
      <c r="AE55" s="23"/>
      <c r="AF55" s="23"/>
    </row>
    <row r="56" spans="2:32" x14ac:dyDescent="0.25">
      <c r="B56" s="9" t="e">
        <f t="shared" si="13"/>
        <v>#N/A</v>
      </c>
      <c r="C56" s="10" t="e">
        <f t="shared" si="10"/>
        <v>#N/A</v>
      </c>
      <c r="D56" s="11" t="str">
        <f>IF(ISERROR(B56),"",bsolve($B56,$E$2,$E$4,$E$8,$E$9))</f>
        <v/>
      </c>
      <c r="E56" s="11" t="str">
        <f t="shared" si="11"/>
        <v/>
      </c>
      <c r="F56" s="11" t="str">
        <f t="shared" si="5"/>
        <v/>
      </c>
      <c r="G56" s="11" t="str">
        <f t="shared" si="12"/>
        <v/>
      </c>
      <c r="H56" s="19" t="str">
        <f t="shared" si="3"/>
        <v/>
      </c>
      <c r="I56" s="21">
        <f t="shared" si="6"/>
        <v>0</v>
      </c>
      <c r="J56" s="21" t="e">
        <f t="shared" si="4"/>
        <v>#N/A</v>
      </c>
      <c r="K56" s="21" t="str">
        <f t="shared" si="8"/>
        <v/>
      </c>
      <c r="Y56" s="20">
        <v>29</v>
      </c>
      <c r="Z56" s="20" t="str">
        <f t="shared" si="9"/>
        <v/>
      </c>
      <c r="AD56" s="23"/>
      <c r="AE56" s="23"/>
      <c r="AF56" s="23"/>
    </row>
    <row r="57" spans="2:32" x14ac:dyDescent="0.25">
      <c r="B57" s="9" t="e">
        <f t="shared" si="13"/>
        <v>#N/A</v>
      </c>
      <c r="C57" s="10" t="e">
        <f t="shared" si="10"/>
        <v>#N/A</v>
      </c>
      <c r="D57" s="11" t="str">
        <f>IF(ISERROR(B57),"",bsolve($B57,$E$2,$E$4,$E$8,$E$9))</f>
        <v/>
      </c>
      <c r="E57" s="11" t="str">
        <f t="shared" si="11"/>
        <v/>
      </c>
      <c r="F57" s="11" t="str">
        <f t="shared" si="5"/>
        <v/>
      </c>
      <c r="G57" s="11" t="str">
        <f t="shared" si="12"/>
        <v/>
      </c>
      <c r="H57" s="19" t="str">
        <f t="shared" si="3"/>
        <v/>
      </c>
      <c r="I57" s="21">
        <f t="shared" si="6"/>
        <v>0</v>
      </c>
      <c r="J57" s="21" t="e">
        <f t="shared" si="4"/>
        <v>#N/A</v>
      </c>
      <c r="K57" s="21" t="str">
        <f t="shared" si="8"/>
        <v/>
      </c>
      <c r="Y57" s="20">
        <v>30</v>
      </c>
      <c r="Z57" s="20" t="str">
        <f t="shared" si="9"/>
        <v/>
      </c>
      <c r="AD57" s="23"/>
      <c r="AE57" s="23"/>
      <c r="AF57" s="23"/>
    </row>
    <row r="58" spans="2:32" x14ac:dyDescent="0.25">
      <c r="B58" s="9" t="e">
        <f t="shared" si="13"/>
        <v>#N/A</v>
      </c>
      <c r="C58" s="10" t="e">
        <f t="shared" si="10"/>
        <v>#N/A</v>
      </c>
      <c r="D58" s="11" t="str">
        <f>IF(ISERROR(B58),"",bsolve($B58,$E$2,$E$4,$E$8,$E$9))</f>
        <v/>
      </c>
      <c r="E58" s="11" t="str">
        <f t="shared" si="11"/>
        <v/>
      </c>
      <c r="F58" s="11" t="str">
        <f t="shared" si="5"/>
        <v/>
      </c>
      <c r="G58" s="11" t="str">
        <f t="shared" si="12"/>
        <v/>
      </c>
      <c r="H58" s="19" t="str">
        <f t="shared" si="3"/>
        <v/>
      </c>
      <c r="I58" s="21">
        <f t="shared" si="6"/>
        <v>0</v>
      </c>
      <c r="J58" s="21" t="e">
        <f t="shared" si="4"/>
        <v>#N/A</v>
      </c>
      <c r="K58" s="21" t="str">
        <f t="shared" si="8"/>
        <v/>
      </c>
      <c r="Y58" s="20">
        <v>31</v>
      </c>
      <c r="Z58" s="20" t="str">
        <f t="shared" si="9"/>
        <v/>
      </c>
      <c r="AD58" s="23"/>
      <c r="AE58" s="23"/>
      <c r="AF58" s="23"/>
    </row>
    <row r="59" spans="2:32" x14ac:dyDescent="0.25">
      <c r="B59" s="9" t="e">
        <f t="shared" si="13"/>
        <v>#N/A</v>
      </c>
      <c r="C59" s="10" t="e">
        <f t="shared" si="10"/>
        <v>#N/A</v>
      </c>
      <c r="D59" s="11" t="str">
        <f>IF(ISERROR(B59),"",bsolve($B59,$E$2,$E$4,$E$8,$E$9))</f>
        <v/>
      </c>
      <c r="E59" s="11" t="str">
        <f t="shared" si="11"/>
        <v/>
      </c>
      <c r="F59" s="11" t="str">
        <f t="shared" si="5"/>
        <v/>
      </c>
      <c r="G59" s="11" t="str">
        <f t="shared" si="12"/>
        <v/>
      </c>
      <c r="H59" s="19" t="str">
        <f t="shared" si="3"/>
        <v/>
      </c>
      <c r="I59" s="21">
        <f t="shared" si="6"/>
        <v>0</v>
      </c>
      <c r="J59" s="21" t="e">
        <f t="shared" si="4"/>
        <v>#N/A</v>
      </c>
      <c r="K59" s="21" t="str">
        <f t="shared" si="8"/>
        <v/>
      </c>
      <c r="Y59" s="20">
        <v>32</v>
      </c>
      <c r="Z59" s="20" t="str">
        <f t="shared" ref="Z59:Z90" si="14">IF(Y59&lt;$Z$25-1,1/($Z$25-Y59),"")</f>
        <v/>
      </c>
      <c r="AD59" s="23"/>
      <c r="AE59" s="23"/>
      <c r="AF59" s="23"/>
    </row>
    <row r="60" spans="2:32" x14ac:dyDescent="0.25">
      <c r="B60" s="9" t="e">
        <f t="shared" si="13"/>
        <v>#N/A</v>
      </c>
      <c r="C60" s="10" t="e">
        <f t="shared" si="10"/>
        <v>#N/A</v>
      </c>
      <c r="D60" s="11" t="str">
        <f>IF(ISERROR(B60),"",bsolve($B60,$E$2,$E$4,$E$8,$E$9))</f>
        <v/>
      </c>
      <c r="E60" s="11" t="str">
        <f t="shared" si="11"/>
        <v/>
      </c>
      <c r="F60" s="11" t="str">
        <f t="shared" si="5"/>
        <v/>
      </c>
      <c r="G60" s="11" t="str">
        <f t="shared" si="12"/>
        <v/>
      </c>
      <c r="H60" s="19" t="str">
        <f t="shared" si="3"/>
        <v/>
      </c>
      <c r="I60" s="21">
        <f t="shared" si="6"/>
        <v>0</v>
      </c>
      <c r="J60" s="21" t="e">
        <f t="shared" si="4"/>
        <v>#N/A</v>
      </c>
      <c r="K60" s="21" t="str">
        <f t="shared" si="8"/>
        <v/>
      </c>
      <c r="Y60" s="20">
        <v>33</v>
      </c>
      <c r="Z60" s="20" t="str">
        <f t="shared" si="14"/>
        <v/>
      </c>
      <c r="AD60" s="23"/>
      <c r="AE60" s="23"/>
      <c r="AF60" s="23"/>
    </row>
    <row r="61" spans="2:32" x14ac:dyDescent="0.25">
      <c r="B61" s="9" t="e">
        <f t="shared" si="13"/>
        <v>#N/A</v>
      </c>
      <c r="C61" s="10" t="e">
        <f t="shared" si="10"/>
        <v>#N/A</v>
      </c>
      <c r="D61" s="11" t="str">
        <f>IF(ISERROR(B61),"",bsolve($B61,$E$2,$E$4,$E$8,$E$9))</f>
        <v/>
      </c>
      <c r="E61" s="11" t="str">
        <f t="shared" si="11"/>
        <v/>
      </c>
      <c r="F61" s="11" t="str">
        <f t="shared" si="5"/>
        <v/>
      </c>
      <c r="G61" s="11" t="str">
        <f t="shared" si="12"/>
        <v/>
      </c>
      <c r="H61" s="19" t="str">
        <f t="shared" si="3"/>
        <v/>
      </c>
      <c r="I61" s="21">
        <f t="shared" si="6"/>
        <v>0</v>
      </c>
      <c r="J61" s="21" t="e">
        <f t="shared" si="4"/>
        <v>#N/A</v>
      </c>
      <c r="K61" s="21" t="str">
        <f t="shared" si="8"/>
        <v/>
      </c>
      <c r="Y61" s="20">
        <v>34</v>
      </c>
      <c r="Z61" s="20" t="str">
        <f t="shared" si="14"/>
        <v/>
      </c>
      <c r="AD61" s="23"/>
      <c r="AE61" s="23"/>
      <c r="AF61" s="23"/>
    </row>
    <row r="62" spans="2:32" x14ac:dyDescent="0.25">
      <c r="B62" s="9" t="e">
        <f t="shared" si="13"/>
        <v>#N/A</v>
      </c>
      <c r="C62" s="10" t="e">
        <f t="shared" si="10"/>
        <v>#N/A</v>
      </c>
      <c r="D62" s="11" t="str">
        <f>IF(ISERROR(B62),"",bsolve($B62,$E$2,$E$4,$E$8,$E$9))</f>
        <v/>
      </c>
      <c r="E62" s="11" t="str">
        <f t="shared" si="11"/>
        <v/>
      </c>
      <c r="F62" s="11" t="str">
        <f t="shared" si="5"/>
        <v/>
      </c>
      <c r="G62" s="11" t="str">
        <f t="shared" si="12"/>
        <v/>
      </c>
      <c r="H62" s="19" t="str">
        <f t="shared" si="3"/>
        <v/>
      </c>
      <c r="I62" s="21">
        <f t="shared" si="6"/>
        <v>0</v>
      </c>
      <c r="J62" s="21" t="e">
        <f t="shared" si="4"/>
        <v>#N/A</v>
      </c>
      <c r="K62" s="21" t="str">
        <f t="shared" si="8"/>
        <v/>
      </c>
      <c r="Y62" s="20">
        <v>35</v>
      </c>
      <c r="Z62" s="20" t="str">
        <f t="shared" si="14"/>
        <v/>
      </c>
      <c r="AD62" s="23"/>
      <c r="AE62" s="23"/>
      <c r="AF62" s="23"/>
    </row>
    <row r="63" spans="2:32" x14ac:dyDescent="0.25">
      <c r="B63" s="9" t="e">
        <f t="shared" si="13"/>
        <v>#N/A</v>
      </c>
      <c r="C63" s="10" t="e">
        <f t="shared" si="10"/>
        <v>#N/A</v>
      </c>
      <c r="D63" s="11" t="str">
        <f>IF(ISERROR(B63),"",bsolve($B63,$E$2,$E$4,$E$8,$E$9))</f>
        <v/>
      </c>
      <c r="E63" s="11" t="str">
        <f t="shared" si="11"/>
        <v/>
      </c>
      <c r="F63" s="11" t="str">
        <f t="shared" si="5"/>
        <v/>
      </c>
      <c r="G63" s="11" t="str">
        <f t="shared" si="12"/>
        <v/>
      </c>
      <c r="H63" s="19" t="str">
        <f t="shared" si="3"/>
        <v/>
      </c>
      <c r="I63" s="21">
        <f t="shared" si="6"/>
        <v>0</v>
      </c>
      <c r="J63" s="21" t="e">
        <f t="shared" si="4"/>
        <v>#N/A</v>
      </c>
      <c r="K63" s="21" t="str">
        <f t="shared" si="8"/>
        <v/>
      </c>
      <c r="Y63" s="20">
        <v>36</v>
      </c>
      <c r="Z63" s="20" t="str">
        <f t="shared" si="14"/>
        <v/>
      </c>
      <c r="AD63" s="23"/>
      <c r="AE63" s="23"/>
      <c r="AF63" s="23"/>
    </row>
    <row r="64" spans="2:32" x14ac:dyDescent="0.25">
      <c r="B64" s="9" t="e">
        <f t="shared" si="13"/>
        <v>#N/A</v>
      </c>
      <c r="C64" s="10" t="e">
        <f t="shared" si="10"/>
        <v>#N/A</v>
      </c>
      <c r="D64" s="11" t="str">
        <f>IF(ISERROR(B64),"",bsolve($B64,$E$2,$E$4,$E$8,$E$9))</f>
        <v/>
      </c>
      <c r="E64" s="11" t="str">
        <f t="shared" si="11"/>
        <v/>
      </c>
      <c r="F64" s="11" t="str">
        <f t="shared" si="5"/>
        <v/>
      </c>
      <c r="G64" s="11" t="str">
        <f t="shared" si="12"/>
        <v/>
      </c>
      <c r="H64" s="19" t="str">
        <f t="shared" si="3"/>
        <v/>
      </c>
      <c r="I64" s="21">
        <f t="shared" si="6"/>
        <v>0</v>
      </c>
      <c r="J64" s="21" t="e">
        <f t="shared" si="4"/>
        <v>#N/A</v>
      </c>
      <c r="K64" s="21" t="str">
        <f t="shared" si="8"/>
        <v/>
      </c>
      <c r="Y64" s="20">
        <v>37</v>
      </c>
      <c r="Z64" s="20" t="str">
        <f t="shared" si="14"/>
        <v/>
      </c>
      <c r="AD64" s="23"/>
      <c r="AE64" s="23"/>
      <c r="AF64" s="23"/>
    </row>
    <row r="65" spans="2:32" x14ac:dyDescent="0.25">
      <c r="B65" s="9" t="e">
        <f t="shared" si="13"/>
        <v>#N/A</v>
      </c>
      <c r="C65" s="10" t="e">
        <f t="shared" si="10"/>
        <v>#N/A</v>
      </c>
      <c r="D65" s="11" t="str">
        <f>IF(ISERROR(B65),"",bsolve($B65,$E$2,$E$4,$E$8,$E$9))</f>
        <v/>
      </c>
      <c r="E65" s="11" t="str">
        <f t="shared" si="11"/>
        <v/>
      </c>
      <c r="F65" s="11" t="str">
        <f t="shared" si="5"/>
        <v/>
      </c>
      <c r="G65" s="11" t="str">
        <f t="shared" si="12"/>
        <v/>
      </c>
      <c r="H65" s="19" t="str">
        <f t="shared" si="3"/>
        <v/>
      </c>
      <c r="I65" s="21">
        <f t="shared" si="6"/>
        <v>0</v>
      </c>
      <c r="J65" s="21" t="e">
        <f t="shared" si="4"/>
        <v>#N/A</v>
      </c>
      <c r="K65" s="21" t="str">
        <f t="shared" si="8"/>
        <v/>
      </c>
      <c r="Y65" s="20">
        <v>38</v>
      </c>
      <c r="Z65" s="20" t="str">
        <f t="shared" si="14"/>
        <v/>
      </c>
      <c r="AD65" s="23"/>
      <c r="AE65" s="23"/>
      <c r="AF65" s="23"/>
    </row>
    <row r="66" spans="2:32" x14ac:dyDescent="0.25">
      <c r="B66" s="9" t="e">
        <f t="shared" si="13"/>
        <v>#N/A</v>
      </c>
      <c r="C66" s="10" t="e">
        <f t="shared" si="10"/>
        <v>#N/A</v>
      </c>
      <c r="D66" s="11" t="str">
        <f>IF(ISERROR(B66),"",bsolve($B66,$E$2,$E$4,$E$8,$E$9))</f>
        <v/>
      </c>
      <c r="E66" s="11" t="str">
        <f t="shared" si="11"/>
        <v/>
      </c>
      <c r="F66" s="11" t="str">
        <f t="shared" si="5"/>
        <v/>
      </c>
      <c r="G66" s="11" t="str">
        <f t="shared" si="12"/>
        <v/>
      </c>
      <c r="H66" s="19" t="str">
        <f t="shared" si="3"/>
        <v/>
      </c>
      <c r="I66" s="21">
        <f t="shared" si="6"/>
        <v>0</v>
      </c>
      <c r="J66" s="21" t="e">
        <f t="shared" si="4"/>
        <v>#N/A</v>
      </c>
      <c r="K66" s="21" t="str">
        <f t="shared" si="8"/>
        <v/>
      </c>
      <c r="Y66" s="20">
        <v>39</v>
      </c>
      <c r="Z66" s="20" t="str">
        <f t="shared" si="14"/>
        <v/>
      </c>
      <c r="AD66" s="23"/>
      <c r="AE66" s="23"/>
      <c r="AF66" s="23"/>
    </row>
    <row r="67" spans="2:32" x14ac:dyDescent="0.25">
      <c r="B67" s="9" t="e">
        <f t="shared" si="13"/>
        <v>#N/A</v>
      </c>
      <c r="C67" s="10" t="e">
        <f t="shared" si="10"/>
        <v>#N/A</v>
      </c>
      <c r="D67" s="11" t="str">
        <f>IF(ISERROR(B67),"",bsolve($B67,$E$2,$E$4,$E$8,$E$9))</f>
        <v/>
      </c>
      <c r="E67" s="11" t="str">
        <f t="shared" si="11"/>
        <v/>
      </c>
      <c r="F67" s="11" t="str">
        <f t="shared" si="5"/>
        <v/>
      </c>
      <c r="G67" s="11" t="str">
        <f t="shared" si="12"/>
        <v/>
      </c>
      <c r="H67" s="19" t="str">
        <f t="shared" si="3"/>
        <v/>
      </c>
      <c r="I67" s="21">
        <f t="shared" si="6"/>
        <v>0</v>
      </c>
      <c r="J67" s="21" t="e">
        <f t="shared" si="4"/>
        <v>#N/A</v>
      </c>
      <c r="K67" s="21" t="str">
        <f t="shared" si="8"/>
        <v/>
      </c>
      <c r="Y67" s="20">
        <v>40</v>
      </c>
      <c r="Z67" s="20" t="str">
        <f t="shared" si="14"/>
        <v/>
      </c>
      <c r="AD67" s="23"/>
      <c r="AE67" s="23"/>
      <c r="AF67" s="23"/>
    </row>
    <row r="68" spans="2:32" x14ac:dyDescent="0.25">
      <c r="B68" s="9" t="e">
        <f t="shared" si="13"/>
        <v>#N/A</v>
      </c>
      <c r="C68" s="10" t="e">
        <f t="shared" si="10"/>
        <v>#N/A</v>
      </c>
      <c r="D68" s="11" t="str">
        <f>IF(ISERROR(B68),"",bsolve($B68,$E$2,$E$4,$E$8,$E$9))</f>
        <v/>
      </c>
      <c r="E68" s="11" t="str">
        <f t="shared" si="11"/>
        <v/>
      </c>
      <c r="F68" s="11" t="str">
        <f t="shared" si="5"/>
        <v/>
      </c>
      <c r="G68" s="11" t="str">
        <f t="shared" si="12"/>
        <v/>
      </c>
      <c r="H68" s="19" t="str">
        <f t="shared" si="3"/>
        <v/>
      </c>
      <c r="I68" s="21">
        <f t="shared" si="6"/>
        <v>0</v>
      </c>
      <c r="J68" s="21" t="e">
        <f t="shared" si="4"/>
        <v>#N/A</v>
      </c>
      <c r="K68" s="21" t="str">
        <f t="shared" si="8"/>
        <v/>
      </c>
      <c r="Y68" s="20">
        <v>41</v>
      </c>
      <c r="Z68" s="20" t="str">
        <f t="shared" si="14"/>
        <v/>
      </c>
      <c r="AD68" s="23"/>
      <c r="AE68" s="23"/>
      <c r="AF68" s="23"/>
    </row>
    <row r="69" spans="2:32" x14ac:dyDescent="0.25">
      <c r="B69" s="9" t="e">
        <f t="shared" si="13"/>
        <v>#N/A</v>
      </c>
      <c r="C69" s="10" t="e">
        <f t="shared" si="10"/>
        <v>#N/A</v>
      </c>
      <c r="D69" s="11" t="str">
        <f>IF(ISERROR(B69),"",bsolve($B69,$E$2,$E$4,$E$8,$E$9))</f>
        <v/>
      </c>
      <c r="E69" s="11" t="str">
        <f t="shared" si="11"/>
        <v/>
      </c>
      <c r="F69" s="11" t="str">
        <f t="shared" si="5"/>
        <v/>
      </c>
      <c r="G69" s="11" t="str">
        <f t="shared" si="12"/>
        <v/>
      </c>
      <c r="H69" s="19" t="str">
        <f t="shared" si="3"/>
        <v/>
      </c>
      <c r="I69" s="21">
        <f t="shared" si="6"/>
        <v>0</v>
      </c>
      <c r="J69" s="21" t="e">
        <f t="shared" si="4"/>
        <v>#N/A</v>
      </c>
      <c r="K69" s="21" t="str">
        <f t="shared" si="8"/>
        <v/>
      </c>
      <c r="Y69" s="20">
        <v>42</v>
      </c>
      <c r="Z69" s="20" t="str">
        <f t="shared" si="14"/>
        <v/>
      </c>
      <c r="AD69" s="23"/>
      <c r="AE69" s="23"/>
      <c r="AF69" s="23"/>
    </row>
    <row r="70" spans="2:32" x14ac:dyDescent="0.25">
      <c r="B70" s="9" t="e">
        <f t="shared" si="13"/>
        <v>#N/A</v>
      </c>
      <c r="C70" s="10" t="e">
        <f t="shared" si="10"/>
        <v>#N/A</v>
      </c>
      <c r="D70" s="11" t="str">
        <f>IF(ISERROR(B70),"",bsolve($B70,$E$2,$E$4,$E$8,$E$9))</f>
        <v/>
      </c>
      <c r="E70" s="11" t="str">
        <f t="shared" si="11"/>
        <v/>
      </c>
      <c r="F70" s="11" t="str">
        <f t="shared" si="5"/>
        <v/>
      </c>
      <c r="G70" s="11" t="str">
        <f t="shared" si="12"/>
        <v/>
      </c>
      <c r="H70" s="19" t="str">
        <f t="shared" si="3"/>
        <v/>
      </c>
      <c r="I70" s="21">
        <f t="shared" si="6"/>
        <v>0</v>
      </c>
      <c r="J70" s="21" t="e">
        <f t="shared" si="4"/>
        <v>#N/A</v>
      </c>
      <c r="K70" s="21" t="str">
        <f t="shared" si="8"/>
        <v/>
      </c>
      <c r="Y70" s="20">
        <v>43</v>
      </c>
      <c r="Z70" s="20" t="str">
        <f t="shared" si="14"/>
        <v/>
      </c>
      <c r="AD70" s="23"/>
      <c r="AE70" s="23"/>
      <c r="AF70" s="23"/>
    </row>
    <row r="71" spans="2:32" x14ac:dyDescent="0.25">
      <c r="B71" s="9" t="e">
        <f t="shared" si="13"/>
        <v>#N/A</v>
      </c>
      <c r="C71" s="10" t="e">
        <f t="shared" si="10"/>
        <v>#N/A</v>
      </c>
      <c r="D71" s="11" t="str">
        <f>IF(ISERROR(B71),"",bsolve($B71,$E$2,$E$4,$E$8,$E$9))</f>
        <v/>
      </c>
      <c r="E71" s="11" t="str">
        <f t="shared" si="11"/>
        <v/>
      </c>
      <c r="F71" s="11" t="str">
        <f t="shared" si="5"/>
        <v/>
      </c>
      <c r="G71" s="11" t="str">
        <f t="shared" si="12"/>
        <v/>
      </c>
      <c r="H71" s="19" t="str">
        <f t="shared" si="3"/>
        <v/>
      </c>
      <c r="I71" s="21">
        <f t="shared" si="6"/>
        <v>0</v>
      </c>
      <c r="J71" s="21" t="e">
        <f t="shared" si="4"/>
        <v>#N/A</v>
      </c>
      <c r="K71" s="21" t="str">
        <f t="shared" si="8"/>
        <v/>
      </c>
      <c r="Y71" s="20">
        <v>44</v>
      </c>
      <c r="Z71" s="20" t="str">
        <f t="shared" si="14"/>
        <v/>
      </c>
      <c r="AD71" s="23"/>
      <c r="AE71" s="23"/>
      <c r="AF71" s="23"/>
    </row>
    <row r="72" spans="2:32" x14ac:dyDescent="0.25">
      <c r="B72" s="9" t="e">
        <f t="shared" si="13"/>
        <v>#N/A</v>
      </c>
      <c r="C72" s="10" t="e">
        <f t="shared" si="10"/>
        <v>#N/A</v>
      </c>
      <c r="D72" s="11" t="str">
        <f>IF(ISERROR(B72),"",bsolve($B72,$E$2,$E$4,$E$8,$E$9))</f>
        <v/>
      </c>
      <c r="E72" s="11" t="str">
        <f t="shared" si="11"/>
        <v/>
      </c>
      <c r="F72" s="11" t="str">
        <f t="shared" si="5"/>
        <v/>
      </c>
      <c r="G72" s="11" t="str">
        <f t="shared" si="12"/>
        <v/>
      </c>
      <c r="H72" s="19" t="str">
        <f t="shared" si="3"/>
        <v/>
      </c>
      <c r="I72" s="21">
        <f t="shared" si="6"/>
        <v>0</v>
      </c>
      <c r="J72" s="21" t="e">
        <f t="shared" si="4"/>
        <v>#N/A</v>
      </c>
      <c r="K72" s="21" t="str">
        <f t="shared" si="8"/>
        <v/>
      </c>
      <c r="Y72" s="20">
        <v>45</v>
      </c>
      <c r="Z72" s="20" t="str">
        <f t="shared" si="14"/>
        <v/>
      </c>
      <c r="AD72" s="23"/>
      <c r="AE72" s="23"/>
      <c r="AF72" s="23"/>
    </row>
    <row r="73" spans="2:32" x14ac:dyDescent="0.25">
      <c r="B73" s="9" t="e">
        <f t="shared" si="13"/>
        <v>#N/A</v>
      </c>
      <c r="C73" s="10" t="e">
        <f t="shared" si="10"/>
        <v>#N/A</v>
      </c>
      <c r="D73" s="11" t="str">
        <f>IF(ISERROR(B73),"",bsolve($B73,$E$2,$E$4,$E$8,$E$9))</f>
        <v/>
      </c>
      <c r="E73" s="11" t="str">
        <f t="shared" si="11"/>
        <v/>
      </c>
      <c r="F73" s="11" t="str">
        <f t="shared" si="5"/>
        <v/>
      </c>
      <c r="G73" s="11" t="str">
        <f t="shared" si="12"/>
        <v/>
      </c>
      <c r="H73" s="19" t="str">
        <f t="shared" si="3"/>
        <v/>
      </c>
      <c r="I73" s="21">
        <f t="shared" si="6"/>
        <v>0</v>
      </c>
      <c r="J73" s="21" t="e">
        <f t="shared" si="4"/>
        <v>#N/A</v>
      </c>
      <c r="K73" s="21" t="str">
        <f t="shared" si="8"/>
        <v/>
      </c>
      <c r="Y73" s="20">
        <v>46</v>
      </c>
      <c r="Z73" s="20" t="str">
        <f t="shared" si="14"/>
        <v/>
      </c>
      <c r="AD73" s="23"/>
      <c r="AE73" s="23"/>
      <c r="AF73" s="23"/>
    </row>
    <row r="74" spans="2:32" x14ac:dyDescent="0.25">
      <c r="B74" s="9" t="e">
        <f t="shared" si="13"/>
        <v>#N/A</v>
      </c>
      <c r="C74" s="10" t="e">
        <f t="shared" si="10"/>
        <v>#N/A</v>
      </c>
      <c r="D74" s="11" t="str">
        <f>IF(ISERROR(B74),"",bsolve($B74,$E$2,$E$4,$E$8,$E$9))</f>
        <v/>
      </c>
      <c r="E74" s="11" t="str">
        <f t="shared" si="11"/>
        <v/>
      </c>
      <c r="F74" s="11" t="str">
        <f t="shared" si="5"/>
        <v/>
      </c>
      <c r="G74" s="11" t="str">
        <f t="shared" si="12"/>
        <v/>
      </c>
      <c r="H74" s="19" t="str">
        <f t="shared" si="3"/>
        <v/>
      </c>
      <c r="I74" s="21">
        <f t="shared" si="6"/>
        <v>0</v>
      </c>
      <c r="J74" s="21" t="e">
        <f t="shared" si="4"/>
        <v>#N/A</v>
      </c>
      <c r="K74" s="21" t="str">
        <f t="shared" si="8"/>
        <v/>
      </c>
      <c r="Y74" s="20">
        <v>47</v>
      </c>
      <c r="Z74" s="20" t="str">
        <f t="shared" si="14"/>
        <v/>
      </c>
      <c r="AD74" s="23"/>
      <c r="AE74" s="23"/>
      <c r="AF74" s="23"/>
    </row>
    <row r="75" spans="2:32" x14ac:dyDescent="0.25">
      <c r="B75" s="9" t="e">
        <f t="shared" si="13"/>
        <v>#N/A</v>
      </c>
      <c r="C75" s="10" t="e">
        <f t="shared" si="10"/>
        <v>#N/A</v>
      </c>
      <c r="D75" s="11" t="str">
        <f>IF(ISERROR(B75),"",bsolve($B75,$E$2,$E$4,$E$8,$E$9))</f>
        <v/>
      </c>
      <c r="E75" s="11" t="str">
        <f t="shared" si="11"/>
        <v/>
      </c>
      <c r="F75" s="11" t="str">
        <f t="shared" si="5"/>
        <v/>
      </c>
      <c r="G75" s="11" t="str">
        <f t="shared" si="12"/>
        <v/>
      </c>
      <c r="H75" s="19" t="str">
        <f t="shared" si="3"/>
        <v/>
      </c>
      <c r="I75" s="21">
        <f t="shared" si="6"/>
        <v>0</v>
      </c>
      <c r="J75" s="21" t="e">
        <f t="shared" si="4"/>
        <v>#N/A</v>
      </c>
      <c r="K75" s="21" t="str">
        <f t="shared" si="8"/>
        <v/>
      </c>
      <c r="Y75" s="20">
        <v>48</v>
      </c>
      <c r="Z75" s="20" t="str">
        <f t="shared" si="14"/>
        <v/>
      </c>
      <c r="AD75" s="23"/>
      <c r="AE75" s="23"/>
      <c r="AF75" s="23"/>
    </row>
    <row r="76" spans="2:32" x14ac:dyDescent="0.25">
      <c r="B76" s="9" t="e">
        <f t="shared" si="13"/>
        <v>#N/A</v>
      </c>
      <c r="C76" s="10" t="e">
        <f t="shared" si="10"/>
        <v>#N/A</v>
      </c>
      <c r="D76" s="11" t="str">
        <f>IF(ISERROR(B76),"",bsolve($B76,$E$2,$E$4,$E$8,$E$9))</f>
        <v/>
      </c>
      <c r="E76" s="11" t="str">
        <f t="shared" si="11"/>
        <v/>
      </c>
      <c r="F76" s="11" t="str">
        <f t="shared" si="5"/>
        <v/>
      </c>
      <c r="G76" s="11" t="str">
        <f t="shared" si="12"/>
        <v/>
      </c>
      <c r="H76" s="19" t="str">
        <f t="shared" si="3"/>
        <v/>
      </c>
      <c r="I76" s="21">
        <f t="shared" si="6"/>
        <v>0</v>
      </c>
      <c r="J76" s="21" t="e">
        <f t="shared" si="4"/>
        <v>#N/A</v>
      </c>
      <c r="K76" s="21" t="str">
        <f t="shared" si="8"/>
        <v/>
      </c>
      <c r="Y76" s="20">
        <v>49</v>
      </c>
      <c r="Z76" s="20" t="str">
        <f t="shared" si="14"/>
        <v/>
      </c>
      <c r="AD76" s="23"/>
      <c r="AE76" s="23"/>
      <c r="AF76" s="23"/>
    </row>
    <row r="77" spans="2:32" x14ac:dyDescent="0.25">
      <c r="B77" s="9" t="e">
        <f t="shared" si="13"/>
        <v>#N/A</v>
      </c>
      <c r="C77" s="10" t="e">
        <f t="shared" si="10"/>
        <v>#N/A</v>
      </c>
      <c r="D77" s="11" t="str">
        <f>IF(ISERROR(B77),"",bsolve($B77,$E$2,$E$4,$E$8,$E$9))</f>
        <v/>
      </c>
      <c r="E77" s="11" t="str">
        <f t="shared" si="11"/>
        <v/>
      </c>
      <c r="F77" s="11" t="str">
        <f t="shared" si="5"/>
        <v/>
      </c>
      <c r="G77" s="11" t="str">
        <f t="shared" si="12"/>
        <v/>
      </c>
      <c r="H77" s="19" t="str">
        <f t="shared" si="3"/>
        <v/>
      </c>
      <c r="I77" s="21">
        <f t="shared" si="6"/>
        <v>0</v>
      </c>
      <c r="J77" s="21" t="e">
        <f t="shared" si="4"/>
        <v>#N/A</v>
      </c>
      <c r="K77" s="21" t="str">
        <f t="shared" si="8"/>
        <v/>
      </c>
      <c r="Y77" s="20">
        <v>50</v>
      </c>
      <c r="Z77" s="20" t="str">
        <f t="shared" si="14"/>
        <v/>
      </c>
      <c r="AD77" s="23"/>
      <c r="AE77" s="23"/>
      <c r="AF77" s="23"/>
    </row>
    <row r="78" spans="2:32" x14ac:dyDescent="0.25">
      <c r="B78" s="9" t="e">
        <f t="shared" si="13"/>
        <v>#N/A</v>
      </c>
      <c r="C78" s="10" t="e">
        <f t="shared" si="10"/>
        <v>#N/A</v>
      </c>
      <c r="D78" s="11" t="str">
        <f>IF(ISERROR(B78),"",bsolve($B78,$E$2,$E$4,$E$8,$E$9))</f>
        <v/>
      </c>
      <c r="E78" s="11" t="str">
        <f t="shared" si="11"/>
        <v/>
      </c>
      <c r="F78" s="11" t="str">
        <f t="shared" si="5"/>
        <v/>
      </c>
      <c r="G78" s="11" t="str">
        <f t="shared" si="12"/>
        <v/>
      </c>
      <c r="H78" s="19" t="str">
        <f t="shared" si="3"/>
        <v/>
      </c>
      <c r="I78" s="21">
        <f t="shared" si="6"/>
        <v>0</v>
      </c>
      <c r="J78" s="21" t="e">
        <f t="shared" si="4"/>
        <v>#N/A</v>
      </c>
      <c r="K78" s="21" t="str">
        <f t="shared" si="8"/>
        <v/>
      </c>
      <c r="Y78" s="20">
        <v>51</v>
      </c>
      <c r="Z78" s="20" t="str">
        <f t="shared" si="14"/>
        <v/>
      </c>
      <c r="AD78" s="23"/>
      <c r="AE78" s="23"/>
      <c r="AF78" s="23"/>
    </row>
    <row r="79" spans="2:32" x14ac:dyDescent="0.25">
      <c r="B79" s="9" t="e">
        <f t="shared" si="13"/>
        <v>#N/A</v>
      </c>
      <c r="C79" s="10" t="e">
        <f t="shared" si="10"/>
        <v>#N/A</v>
      </c>
      <c r="D79" s="11" t="str">
        <f>IF(ISERROR(B79),"",bsolve($B79,$E$2,$E$4,$E$8,$E$9))</f>
        <v/>
      </c>
      <c r="E79" s="11" t="str">
        <f t="shared" si="11"/>
        <v/>
      </c>
      <c r="F79" s="11" t="str">
        <f t="shared" si="5"/>
        <v/>
      </c>
      <c r="G79" s="11" t="str">
        <f t="shared" si="12"/>
        <v/>
      </c>
      <c r="H79" s="19" t="str">
        <f t="shared" si="3"/>
        <v/>
      </c>
      <c r="I79" s="21">
        <f t="shared" si="6"/>
        <v>0</v>
      </c>
      <c r="J79" s="21" t="e">
        <f t="shared" si="4"/>
        <v>#N/A</v>
      </c>
      <c r="K79" s="21" t="str">
        <f t="shared" si="8"/>
        <v/>
      </c>
      <c r="Y79" s="20">
        <v>52</v>
      </c>
      <c r="Z79" s="20" t="str">
        <f t="shared" si="14"/>
        <v/>
      </c>
      <c r="AD79" s="23"/>
      <c r="AE79" s="23"/>
      <c r="AF79" s="23"/>
    </row>
    <row r="80" spans="2:32" x14ac:dyDescent="0.25">
      <c r="B80" s="9" t="e">
        <f t="shared" si="13"/>
        <v>#N/A</v>
      </c>
      <c r="C80" s="10" t="e">
        <f t="shared" si="10"/>
        <v>#N/A</v>
      </c>
      <c r="D80" s="11" t="str">
        <f>IF(ISERROR(B80),"",bsolve($B80,$E$2,$E$4,$E$8,$E$9))</f>
        <v/>
      </c>
      <c r="E80" s="11" t="str">
        <f t="shared" si="11"/>
        <v/>
      </c>
      <c r="F80" s="11" t="str">
        <f t="shared" si="5"/>
        <v/>
      </c>
      <c r="G80" s="11" t="str">
        <f t="shared" si="12"/>
        <v/>
      </c>
      <c r="H80" s="19" t="str">
        <f t="shared" si="3"/>
        <v/>
      </c>
      <c r="I80" s="21">
        <f t="shared" si="6"/>
        <v>0</v>
      </c>
      <c r="J80" s="21" t="e">
        <f t="shared" si="4"/>
        <v>#N/A</v>
      </c>
      <c r="K80" s="21" t="str">
        <f t="shared" si="8"/>
        <v/>
      </c>
      <c r="Y80" s="20">
        <v>53</v>
      </c>
      <c r="Z80" s="20" t="str">
        <f t="shared" si="14"/>
        <v/>
      </c>
      <c r="AD80" s="23"/>
      <c r="AE80" s="23"/>
      <c r="AF80" s="23"/>
    </row>
    <row r="81" spans="2:32" x14ac:dyDescent="0.25">
      <c r="B81" s="9" t="e">
        <f t="shared" si="13"/>
        <v>#N/A</v>
      </c>
      <c r="C81" s="10" t="e">
        <f t="shared" si="10"/>
        <v>#N/A</v>
      </c>
      <c r="D81" s="11" t="str">
        <f>IF(ISERROR(B81),"",bsolve($B81,$E$2,$E$4,$E$8,$E$9))</f>
        <v/>
      </c>
      <c r="E81" s="11" t="str">
        <f t="shared" si="11"/>
        <v/>
      </c>
      <c r="F81" s="11" t="str">
        <f t="shared" si="5"/>
        <v/>
      </c>
      <c r="G81" s="11" t="str">
        <f t="shared" si="12"/>
        <v/>
      </c>
      <c r="H81" s="19" t="str">
        <f t="shared" si="3"/>
        <v/>
      </c>
      <c r="I81" s="21">
        <f t="shared" si="6"/>
        <v>0</v>
      </c>
      <c r="J81" s="21" t="e">
        <f t="shared" si="4"/>
        <v>#N/A</v>
      </c>
      <c r="K81" s="21" t="str">
        <f t="shared" si="8"/>
        <v/>
      </c>
      <c r="Y81" s="20">
        <v>54</v>
      </c>
      <c r="Z81" s="20" t="str">
        <f t="shared" si="14"/>
        <v/>
      </c>
      <c r="AD81" s="23"/>
      <c r="AE81" s="23"/>
      <c r="AF81" s="23"/>
    </row>
    <row r="82" spans="2:32" x14ac:dyDescent="0.25">
      <c r="B82" s="9" t="e">
        <f t="shared" si="13"/>
        <v>#N/A</v>
      </c>
      <c r="C82" s="10" t="e">
        <f t="shared" ref="C82:C113" si="15">IF(B82="","",100*B82/$E$2)</f>
        <v>#N/A</v>
      </c>
      <c r="D82" s="11" t="str">
        <f>IF(ISERROR(B82),"",bsolve($B82,$E$2,$E$4,$E$8,$E$9))</f>
        <v/>
      </c>
      <c r="E82" s="11" t="str">
        <f t="shared" ref="E82:E113" si="16">IF(ISERROR(B82),"",IF(AND($E$7&lt;$E$5,C82&gt;=($E$5*100)),D82,0))</f>
        <v/>
      </c>
      <c r="F82" s="11" t="str">
        <f t="shared" si="5"/>
        <v/>
      </c>
      <c r="G82" s="11" t="str">
        <f t="shared" ref="G82:G113" si="17">IF(ISERROR(B82),"",IF(C82&gt;=$E$5*100,D82,""))</f>
        <v/>
      </c>
      <c r="H82" s="19" t="str">
        <f t="shared" ref="H82:H145" si="18">IF(ISERROR(B82),"",100*((B82*(1-$E$9))+($E$2-B82)*$E$8)/$E$2)</f>
        <v/>
      </c>
      <c r="I82" s="21">
        <f t="shared" si="6"/>
        <v>0</v>
      </c>
      <c r="J82" s="21" t="e">
        <f t="shared" ref="J82:J145" si="19">IF(ISERROR(B82),NA(),IF(AND(H82&gt;=$E$5*100,B82/$E$2&lt;$E$5),H82,NA()))</f>
        <v>#N/A</v>
      </c>
      <c r="K82" s="21" t="str">
        <f t="shared" si="8"/>
        <v/>
      </c>
      <c r="Y82" s="20">
        <v>55</v>
      </c>
      <c r="Z82" s="20" t="str">
        <f t="shared" si="14"/>
        <v/>
      </c>
      <c r="AD82" s="23"/>
      <c r="AE82" s="23"/>
      <c r="AF82" s="23"/>
    </row>
    <row r="83" spans="2:32" x14ac:dyDescent="0.25">
      <c r="B83" s="9" t="e">
        <f t="shared" si="13"/>
        <v>#N/A</v>
      </c>
      <c r="C83" s="10" t="e">
        <f t="shared" si="15"/>
        <v>#N/A</v>
      </c>
      <c r="D83" s="11" t="str">
        <f>IF(ISERROR(B83),"",bsolve($B83,$E$2,$E$4,$E$8,$E$9))</f>
        <v/>
      </c>
      <c r="E83" s="11" t="str">
        <f t="shared" si="16"/>
        <v/>
      </c>
      <c r="F83" s="11" t="str">
        <f t="shared" ref="F83:F146" si="20">IF(ISERROR(B83),"",IF(AND($E$7&gt;=$E$5,C83&lt;($E$5*100)),D83,0))</f>
        <v/>
      </c>
      <c r="G83" s="11" t="str">
        <f t="shared" si="17"/>
        <v/>
      </c>
      <c r="H83" s="19" t="str">
        <f t="shared" si="18"/>
        <v/>
      </c>
      <c r="I83" s="21">
        <f t="shared" ref="I83:I146" si="21">IF(NOT(ISERROR(J83)),B83,0)</f>
        <v>0</v>
      </c>
      <c r="J83" s="21" t="e">
        <f t="shared" si="19"/>
        <v>#N/A</v>
      </c>
      <c r="K83" s="21" t="str">
        <f t="shared" ref="K83:K146" si="22">IF(AND(I83=0,I84&gt;0),B83,"")</f>
        <v/>
      </c>
      <c r="Y83" s="20">
        <v>56</v>
      </c>
      <c r="Z83" s="20" t="str">
        <f t="shared" si="14"/>
        <v/>
      </c>
      <c r="AD83" s="23"/>
      <c r="AE83" s="23"/>
      <c r="AF83" s="23"/>
    </row>
    <row r="84" spans="2:32" x14ac:dyDescent="0.25">
      <c r="B84" s="9" t="e">
        <f t="shared" ref="B84:B115" si="23">IF(ROW()-18&lt;=$E$2,B83+1,NA())</f>
        <v>#N/A</v>
      </c>
      <c r="C84" s="10" t="e">
        <f t="shared" si="15"/>
        <v>#N/A</v>
      </c>
      <c r="D84" s="11" t="str">
        <f>IF(ISERROR(B84),"",bsolve($B84,$E$2,$E$4,$E$8,$E$9))</f>
        <v/>
      </c>
      <c r="E84" s="11" t="str">
        <f t="shared" si="16"/>
        <v/>
      </c>
      <c r="F84" s="11" t="str">
        <f t="shared" si="20"/>
        <v/>
      </c>
      <c r="G84" s="11" t="str">
        <f t="shared" si="17"/>
        <v/>
      </c>
      <c r="H84" s="19" t="str">
        <f t="shared" si="18"/>
        <v/>
      </c>
      <c r="I84" s="21">
        <f t="shared" si="21"/>
        <v>0</v>
      </c>
      <c r="J84" s="21" t="e">
        <f t="shared" si="19"/>
        <v>#N/A</v>
      </c>
      <c r="K84" s="21" t="str">
        <f t="shared" si="22"/>
        <v/>
      </c>
      <c r="Y84" s="20">
        <v>57</v>
      </c>
      <c r="Z84" s="20" t="str">
        <f t="shared" si="14"/>
        <v/>
      </c>
      <c r="AD84" s="23"/>
      <c r="AE84" s="23"/>
      <c r="AF84" s="23"/>
    </row>
    <row r="85" spans="2:32" x14ac:dyDescent="0.25">
      <c r="B85" s="9" t="e">
        <f t="shared" si="23"/>
        <v>#N/A</v>
      </c>
      <c r="C85" s="10" t="e">
        <f t="shared" si="15"/>
        <v>#N/A</v>
      </c>
      <c r="D85" s="11" t="str">
        <f>IF(ISERROR(B85),"",bsolve($B85,$E$2,$E$4,$E$8,$E$9))</f>
        <v/>
      </c>
      <c r="E85" s="11" t="str">
        <f t="shared" si="16"/>
        <v/>
      </c>
      <c r="F85" s="11" t="str">
        <f t="shared" si="20"/>
        <v/>
      </c>
      <c r="G85" s="11" t="str">
        <f t="shared" si="17"/>
        <v/>
      </c>
      <c r="H85" s="19" t="str">
        <f t="shared" si="18"/>
        <v/>
      </c>
      <c r="I85" s="21">
        <f t="shared" si="21"/>
        <v>0</v>
      </c>
      <c r="J85" s="21" t="e">
        <f t="shared" si="19"/>
        <v>#N/A</v>
      </c>
      <c r="K85" s="21" t="str">
        <f t="shared" si="22"/>
        <v/>
      </c>
      <c r="Y85" s="20">
        <v>58</v>
      </c>
      <c r="Z85" s="20" t="str">
        <f t="shared" si="14"/>
        <v/>
      </c>
      <c r="AD85" s="23"/>
      <c r="AE85" s="23"/>
      <c r="AF85" s="23"/>
    </row>
    <row r="86" spans="2:32" x14ac:dyDescent="0.25">
      <c r="B86" s="9" t="e">
        <f t="shared" si="23"/>
        <v>#N/A</v>
      </c>
      <c r="C86" s="10" t="e">
        <f t="shared" si="15"/>
        <v>#N/A</v>
      </c>
      <c r="D86" s="11" t="str">
        <f>IF(ISERROR(B86),"",bsolve($B86,$E$2,$E$4,$E$8,$E$9))</f>
        <v/>
      </c>
      <c r="E86" s="11" t="str">
        <f t="shared" si="16"/>
        <v/>
      </c>
      <c r="F86" s="11" t="str">
        <f t="shared" si="20"/>
        <v/>
      </c>
      <c r="G86" s="11" t="str">
        <f t="shared" si="17"/>
        <v/>
      </c>
      <c r="H86" s="19" t="str">
        <f t="shared" si="18"/>
        <v/>
      </c>
      <c r="I86" s="21">
        <f t="shared" si="21"/>
        <v>0</v>
      </c>
      <c r="J86" s="21" t="e">
        <f t="shared" si="19"/>
        <v>#N/A</v>
      </c>
      <c r="K86" s="21" t="str">
        <f t="shared" si="22"/>
        <v/>
      </c>
      <c r="Y86" s="20">
        <v>59</v>
      </c>
      <c r="Z86" s="20" t="str">
        <f t="shared" si="14"/>
        <v/>
      </c>
      <c r="AD86" s="23"/>
      <c r="AE86" s="23"/>
      <c r="AF86" s="23"/>
    </row>
    <row r="87" spans="2:32" x14ac:dyDescent="0.25">
      <c r="B87" s="9" t="e">
        <f t="shared" si="23"/>
        <v>#N/A</v>
      </c>
      <c r="C87" s="10" t="e">
        <f t="shared" si="15"/>
        <v>#N/A</v>
      </c>
      <c r="D87" s="11" t="str">
        <f>IF(ISERROR(B87),"",bsolve($B87,$E$2,$E$4,$E$8,$E$9))</f>
        <v/>
      </c>
      <c r="E87" s="11" t="str">
        <f t="shared" si="16"/>
        <v/>
      </c>
      <c r="F87" s="11" t="str">
        <f t="shared" si="20"/>
        <v/>
      </c>
      <c r="G87" s="11" t="str">
        <f t="shared" si="17"/>
        <v/>
      </c>
      <c r="H87" s="19" t="str">
        <f t="shared" si="18"/>
        <v/>
      </c>
      <c r="I87" s="21">
        <f t="shared" si="21"/>
        <v>0</v>
      </c>
      <c r="J87" s="21" t="e">
        <f t="shared" si="19"/>
        <v>#N/A</v>
      </c>
      <c r="K87" s="21" t="str">
        <f t="shared" si="22"/>
        <v/>
      </c>
      <c r="Y87" s="20">
        <v>60</v>
      </c>
      <c r="Z87" s="20" t="str">
        <f t="shared" si="14"/>
        <v/>
      </c>
      <c r="AD87" s="23"/>
      <c r="AE87" s="23"/>
      <c r="AF87" s="23"/>
    </row>
    <row r="88" spans="2:32" x14ac:dyDescent="0.25">
      <c r="B88" s="9" t="e">
        <f t="shared" si="23"/>
        <v>#N/A</v>
      </c>
      <c r="C88" s="10" t="e">
        <f t="shared" si="15"/>
        <v>#N/A</v>
      </c>
      <c r="D88" s="11" t="str">
        <f>IF(ISERROR(B88),"",bsolve($B88,$E$2,$E$4,$E$8,$E$9))</f>
        <v/>
      </c>
      <c r="E88" s="11" t="str">
        <f t="shared" si="16"/>
        <v/>
      </c>
      <c r="F88" s="11" t="str">
        <f t="shared" si="20"/>
        <v/>
      </c>
      <c r="G88" s="11" t="str">
        <f t="shared" si="17"/>
        <v/>
      </c>
      <c r="H88" s="19" t="str">
        <f t="shared" si="18"/>
        <v/>
      </c>
      <c r="I88" s="21">
        <f t="shared" si="21"/>
        <v>0</v>
      </c>
      <c r="J88" s="21" t="e">
        <f t="shared" si="19"/>
        <v>#N/A</v>
      </c>
      <c r="K88" s="21" t="str">
        <f t="shared" si="22"/>
        <v/>
      </c>
      <c r="Y88" s="20">
        <v>61</v>
      </c>
      <c r="Z88" s="20" t="str">
        <f t="shared" si="14"/>
        <v/>
      </c>
      <c r="AD88" s="23"/>
      <c r="AE88" s="23"/>
      <c r="AF88" s="23"/>
    </row>
    <row r="89" spans="2:32" x14ac:dyDescent="0.25">
      <c r="B89" s="9" t="e">
        <f t="shared" si="23"/>
        <v>#N/A</v>
      </c>
      <c r="C89" s="10" t="e">
        <f t="shared" si="15"/>
        <v>#N/A</v>
      </c>
      <c r="D89" s="11" t="str">
        <f>IF(ISERROR(B89),"",bsolve($B89,$E$2,$E$4,$E$8,$E$9))</f>
        <v/>
      </c>
      <c r="E89" s="11" t="str">
        <f t="shared" si="16"/>
        <v/>
      </c>
      <c r="F89" s="11" t="str">
        <f t="shared" si="20"/>
        <v/>
      </c>
      <c r="G89" s="11" t="str">
        <f t="shared" si="17"/>
        <v/>
      </c>
      <c r="H89" s="19" t="str">
        <f t="shared" si="18"/>
        <v/>
      </c>
      <c r="I89" s="21">
        <f t="shared" si="21"/>
        <v>0</v>
      </c>
      <c r="J89" s="21" t="e">
        <f t="shared" si="19"/>
        <v>#N/A</v>
      </c>
      <c r="K89" s="21" t="str">
        <f t="shared" si="22"/>
        <v/>
      </c>
      <c r="Y89" s="20">
        <v>62</v>
      </c>
      <c r="Z89" s="20" t="str">
        <f t="shared" si="14"/>
        <v/>
      </c>
      <c r="AD89" s="23"/>
      <c r="AE89" s="23"/>
      <c r="AF89" s="23"/>
    </row>
    <row r="90" spans="2:32" x14ac:dyDescent="0.25">
      <c r="B90" s="9" t="e">
        <f t="shared" si="23"/>
        <v>#N/A</v>
      </c>
      <c r="C90" s="10" t="e">
        <f t="shared" si="15"/>
        <v>#N/A</v>
      </c>
      <c r="D90" s="11" t="str">
        <f>IF(ISERROR(B90),"",bsolve($B90,$E$2,$E$4,$E$8,$E$9))</f>
        <v/>
      </c>
      <c r="E90" s="11" t="str">
        <f t="shared" si="16"/>
        <v/>
      </c>
      <c r="F90" s="11" t="str">
        <f t="shared" si="20"/>
        <v/>
      </c>
      <c r="G90" s="11" t="str">
        <f t="shared" si="17"/>
        <v/>
      </c>
      <c r="H90" s="19" t="str">
        <f t="shared" si="18"/>
        <v/>
      </c>
      <c r="I90" s="21">
        <f t="shared" si="21"/>
        <v>0</v>
      </c>
      <c r="J90" s="21" t="e">
        <f t="shared" si="19"/>
        <v>#N/A</v>
      </c>
      <c r="K90" s="21" t="str">
        <f t="shared" si="22"/>
        <v/>
      </c>
      <c r="Y90" s="20">
        <v>63</v>
      </c>
      <c r="Z90" s="20" t="str">
        <f t="shared" si="14"/>
        <v/>
      </c>
      <c r="AD90" s="23"/>
      <c r="AE90" s="23"/>
      <c r="AF90" s="23"/>
    </row>
    <row r="91" spans="2:32" x14ac:dyDescent="0.25">
      <c r="B91" s="9" t="e">
        <f t="shared" si="23"/>
        <v>#N/A</v>
      </c>
      <c r="C91" s="10" t="e">
        <f t="shared" si="15"/>
        <v>#N/A</v>
      </c>
      <c r="D91" s="11" t="str">
        <f>IF(ISERROR(B91),"",bsolve($B91,$E$2,$E$4,$E$8,$E$9))</f>
        <v/>
      </c>
      <c r="E91" s="11" t="str">
        <f t="shared" si="16"/>
        <v/>
      </c>
      <c r="F91" s="11" t="str">
        <f t="shared" si="20"/>
        <v/>
      </c>
      <c r="G91" s="11" t="str">
        <f t="shared" si="17"/>
        <v/>
      </c>
      <c r="H91" s="19" t="str">
        <f t="shared" si="18"/>
        <v/>
      </c>
      <c r="I91" s="21">
        <f t="shared" si="21"/>
        <v>0</v>
      </c>
      <c r="J91" s="21" t="e">
        <f t="shared" si="19"/>
        <v>#N/A</v>
      </c>
      <c r="K91" s="21" t="str">
        <f t="shared" si="22"/>
        <v/>
      </c>
      <c r="Y91" s="20">
        <v>64</v>
      </c>
      <c r="Z91" s="20" t="str">
        <f t="shared" ref="Z91:Z122" si="24">IF(Y91&lt;$Z$25-1,1/($Z$25-Y91),"")</f>
        <v/>
      </c>
      <c r="AD91" s="23"/>
      <c r="AE91" s="23"/>
      <c r="AF91" s="23"/>
    </row>
    <row r="92" spans="2:32" x14ac:dyDescent="0.25">
      <c r="B92" s="9" t="e">
        <f t="shared" si="23"/>
        <v>#N/A</v>
      </c>
      <c r="C92" s="10" t="e">
        <f t="shared" si="15"/>
        <v>#N/A</v>
      </c>
      <c r="D92" s="11" t="str">
        <f>IF(ISERROR(B92),"",bsolve($B92,$E$2,$E$4,$E$8,$E$9))</f>
        <v/>
      </c>
      <c r="E92" s="11" t="str">
        <f t="shared" si="16"/>
        <v/>
      </c>
      <c r="F92" s="11" t="str">
        <f t="shared" si="20"/>
        <v/>
      </c>
      <c r="G92" s="11" t="str">
        <f t="shared" si="17"/>
        <v/>
      </c>
      <c r="H92" s="19" t="str">
        <f t="shared" si="18"/>
        <v/>
      </c>
      <c r="I92" s="21">
        <f t="shared" si="21"/>
        <v>0</v>
      </c>
      <c r="J92" s="21" t="e">
        <f t="shared" si="19"/>
        <v>#N/A</v>
      </c>
      <c r="K92" s="21" t="str">
        <f t="shared" si="22"/>
        <v/>
      </c>
      <c r="Y92" s="20">
        <v>65</v>
      </c>
      <c r="Z92" s="20" t="str">
        <f t="shared" si="24"/>
        <v/>
      </c>
      <c r="AD92" s="23"/>
      <c r="AE92" s="23"/>
      <c r="AF92" s="23"/>
    </row>
    <row r="93" spans="2:32" x14ac:dyDescent="0.25">
      <c r="B93" s="9" t="e">
        <f t="shared" si="23"/>
        <v>#N/A</v>
      </c>
      <c r="C93" s="10" t="e">
        <f t="shared" si="15"/>
        <v>#N/A</v>
      </c>
      <c r="D93" s="11" t="str">
        <f>IF(ISERROR(B93),"",bsolve($B93,$E$2,$E$4,$E$8,$E$9))</f>
        <v/>
      </c>
      <c r="E93" s="11" t="str">
        <f t="shared" si="16"/>
        <v/>
      </c>
      <c r="F93" s="11" t="str">
        <f t="shared" si="20"/>
        <v/>
      </c>
      <c r="G93" s="11" t="str">
        <f t="shared" si="17"/>
        <v/>
      </c>
      <c r="H93" s="19" t="str">
        <f t="shared" si="18"/>
        <v/>
      </c>
      <c r="I93" s="21">
        <f t="shared" si="21"/>
        <v>0</v>
      </c>
      <c r="J93" s="21" t="e">
        <f t="shared" si="19"/>
        <v>#N/A</v>
      </c>
      <c r="K93" s="21" t="str">
        <f t="shared" si="22"/>
        <v/>
      </c>
      <c r="Y93" s="20">
        <v>66</v>
      </c>
      <c r="Z93" s="20" t="str">
        <f t="shared" si="24"/>
        <v/>
      </c>
      <c r="AD93" s="23"/>
      <c r="AE93" s="23"/>
      <c r="AF93" s="23"/>
    </row>
    <row r="94" spans="2:32" x14ac:dyDescent="0.25">
      <c r="B94" s="9" t="e">
        <f t="shared" si="23"/>
        <v>#N/A</v>
      </c>
      <c r="C94" s="10" t="e">
        <f t="shared" si="15"/>
        <v>#N/A</v>
      </c>
      <c r="D94" s="11" t="str">
        <f>IF(ISERROR(B94),"",bsolve($B94,$E$2,$E$4,$E$8,$E$9))</f>
        <v/>
      </c>
      <c r="E94" s="11" t="str">
        <f t="shared" si="16"/>
        <v/>
      </c>
      <c r="F94" s="11" t="str">
        <f t="shared" si="20"/>
        <v/>
      </c>
      <c r="G94" s="11" t="str">
        <f t="shared" si="17"/>
        <v/>
      </c>
      <c r="H94" s="19" t="str">
        <f t="shared" si="18"/>
        <v/>
      </c>
      <c r="I94" s="21">
        <f t="shared" si="21"/>
        <v>0</v>
      </c>
      <c r="J94" s="21" t="e">
        <f t="shared" si="19"/>
        <v>#N/A</v>
      </c>
      <c r="K94" s="21" t="str">
        <f t="shared" si="22"/>
        <v/>
      </c>
      <c r="Y94" s="20">
        <v>67</v>
      </c>
      <c r="Z94" s="20" t="str">
        <f t="shared" si="24"/>
        <v/>
      </c>
      <c r="AD94" s="23"/>
      <c r="AE94" s="23"/>
      <c r="AF94" s="23"/>
    </row>
    <row r="95" spans="2:32" x14ac:dyDescent="0.25">
      <c r="B95" s="9" t="e">
        <f t="shared" si="23"/>
        <v>#N/A</v>
      </c>
      <c r="C95" s="10" t="e">
        <f t="shared" si="15"/>
        <v>#N/A</v>
      </c>
      <c r="D95" s="11" t="str">
        <f>IF(ISERROR(B95),"",bsolve($B95,$E$2,$E$4,$E$8,$E$9))</f>
        <v/>
      </c>
      <c r="E95" s="11" t="str">
        <f t="shared" si="16"/>
        <v/>
      </c>
      <c r="F95" s="11" t="str">
        <f t="shared" si="20"/>
        <v/>
      </c>
      <c r="G95" s="11" t="str">
        <f t="shared" si="17"/>
        <v/>
      </c>
      <c r="H95" s="19" t="str">
        <f t="shared" si="18"/>
        <v/>
      </c>
      <c r="I95" s="21">
        <f t="shared" si="21"/>
        <v>0</v>
      </c>
      <c r="J95" s="21" t="e">
        <f t="shared" si="19"/>
        <v>#N/A</v>
      </c>
      <c r="K95" s="21" t="str">
        <f t="shared" si="22"/>
        <v/>
      </c>
      <c r="Y95" s="20">
        <v>68</v>
      </c>
      <c r="Z95" s="20" t="str">
        <f t="shared" si="24"/>
        <v/>
      </c>
      <c r="AD95" s="23"/>
      <c r="AE95" s="23"/>
      <c r="AF95" s="23"/>
    </row>
    <row r="96" spans="2:32" x14ac:dyDescent="0.25">
      <c r="B96" s="9" t="e">
        <f t="shared" si="23"/>
        <v>#N/A</v>
      </c>
      <c r="C96" s="10" t="e">
        <f t="shared" si="15"/>
        <v>#N/A</v>
      </c>
      <c r="D96" s="11" t="str">
        <f>IF(ISERROR(B96),"",bsolve($B96,$E$2,$E$4,$E$8,$E$9))</f>
        <v/>
      </c>
      <c r="E96" s="11" t="str">
        <f t="shared" si="16"/>
        <v/>
      </c>
      <c r="F96" s="11" t="str">
        <f t="shared" si="20"/>
        <v/>
      </c>
      <c r="G96" s="11" t="str">
        <f t="shared" si="17"/>
        <v/>
      </c>
      <c r="H96" s="19" t="str">
        <f t="shared" si="18"/>
        <v/>
      </c>
      <c r="I96" s="21">
        <f t="shared" si="21"/>
        <v>0</v>
      </c>
      <c r="J96" s="21" t="e">
        <f t="shared" si="19"/>
        <v>#N/A</v>
      </c>
      <c r="K96" s="21" t="str">
        <f t="shared" si="22"/>
        <v/>
      </c>
      <c r="Y96" s="20">
        <v>69</v>
      </c>
      <c r="Z96" s="20" t="str">
        <f t="shared" si="24"/>
        <v/>
      </c>
      <c r="AD96" s="23"/>
      <c r="AE96" s="23"/>
      <c r="AF96" s="23"/>
    </row>
    <row r="97" spans="2:32" x14ac:dyDescent="0.25">
      <c r="B97" s="9" t="e">
        <f t="shared" si="23"/>
        <v>#N/A</v>
      </c>
      <c r="C97" s="10" t="e">
        <f t="shared" si="15"/>
        <v>#N/A</v>
      </c>
      <c r="D97" s="11" t="str">
        <f>IF(ISERROR(B97),"",bsolve($B97,$E$2,$E$4,$E$8,$E$9))</f>
        <v/>
      </c>
      <c r="E97" s="11" t="str">
        <f t="shared" si="16"/>
        <v/>
      </c>
      <c r="F97" s="11" t="str">
        <f t="shared" si="20"/>
        <v/>
      </c>
      <c r="G97" s="11" t="str">
        <f t="shared" si="17"/>
        <v/>
      </c>
      <c r="H97" s="19" t="str">
        <f t="shared" si="18"/>
        <v/>
      </c>
      <c r="I97" s="21">
        <f t="shared" si="21"/>
        <v>0</v>
      </c>
      <c r="J97" s="21" t="e">
        <f t="shared" si="19"/>
        <v>#N/A</v>
      </c>
      <c r="K97" s="21" t="str">
        <f t="shared" si="22"/>
        <v/>
      </c>
      <c r="Y97" s="20">
        <v>70</v>
      </c>
      <c r="Z97" s="20" t="str">
        <f t="shared" si="24"/>
        <v/>
      </c>
      <c r="AD97" s="23"/>
      <c r="AE97" s="23"/>
      <c r="AF97" s="23"/>
    </row>
    <row r="98" spans="2:32" x14ac:dyDescent="0.25">
      <c r="B98" s="9" t="e">
        <f t="shared" si="23"/>
        <v>#N/A</v>
      </c>
      <c r="C98" s="10" t="e">
        <f t="shared" si="15"/>
        <v>#N/A</v>
      </c>
      <c r="D98" s="11" t="str">
        <f>IF(ISERROR(B98),"",bsolve($B98,$E$2,$E$4,$E$8,$E$9))</f>
        <v/>
      </c>
      <c r="E98" s="11" t="str">
        <f t="shared" si="16"/>
        <v/>
      </c>
      <c r="F98" s="11" t="str">
        <f t="shared" si="20"/>
        <v/>
      </c>
      <c r="G98" s="11" t="str">
        <f t="shared" si="17"/>
        <v/>
      </c>
      <c r="H98" s="19" t="str">
        <f t="shared" si="18"/>
        <v/>
      </c>
      <c r="I98" s="21">
        <f t="shared" si="21"/>
        <v>0</v>
      </c>
      <c r="J98" s="21" t="e">
        <f t="shared" si="19"/>
        <v>#N/A</v>
      </c>
      <c r="K98" s="21" t="str">
        <f t="shared" si="22"/>
        <v/>
      </c>
      <c r="Y98" s="20">
        <v>71</v>
      </c>
      <c r="Z98" s="20" t="str">
        <f t="shared" si="24"/>
        <v/>
      </c>
      <c r="AD98" s="23"/>
      <c r="AE98" s="23"/>
      <c r="AF98" s="23"/>
    </row>
    <row r="99" spans="2:32" x14ac:dyDescent="0.25">
      <c r="B99" s="9" t="e">
        <f t="shared" si="23"/>
        <v>#N/A</v>
      </c>
      <c r="C99" s="10" t="e">
        <f t="shared" si="15"/>
        <v>#N/A</v>
      </c>
      <c r="D99" s="11" t="str">
        <f>IF(ISERROR(B99),"",bsolve($B99,$E$2,$E$4,$E$8,$E$9))</f>
        <v/>
      </c>
      <c r="E99" s="11" t="str">
        <f t="shared" si="16"/>
        <v/>
      </c>
      <c r="F99" s="11" t="str">
        <f t="shared" si="20"/>
        <v/>
      </c>
      <c r="G99" s="11" t="str">
        <f t="shared" si="17"/>
        <v/>
      </c>
      <c r="H99" s="19" t="str">
        <f t="shared" si="18"/>
        <v/>
      </c>
      <c r="I99" s="21">
        <f t="shared" si="21"/>
        <v>0</v>
      </c>
      <c r="J99" s="21" t="e">
        <f t="shared" si="19"/>
        <v>#N/A</v>
      </c>
      <c r="K99" s="21" t="str">
        <f t="shared" si="22"/>
        <v/>
      </c>
      <c r="Y99" s="20">
        <v>72</v>
      </c>
      <c r="Z99" s="20" t="str">
        <f t="shared" si="24"/>
        <v/>
      </c>
      <c r="AD99" s="23"/>
      <c r="AE99" s="23"/>
      <c r="AF99" s="23"/>
    </row>
    <row r="100" spans="2:32" x14ac:dyDescent="0.25">
      <c r="B100" s="9" t="e">
        <f t="shared" si="23"/>
        <v>#N/A</v>
      </c>
      <c r="C100" s="10" t="e">
        <f t="shared" si="15"/>
        <v>#N/A</v>
      </c>
      <c r="D100" s="11" t="str">
        <f>IF(ISERROR(B100),"",bsolve($B100,$E$2,$E$4,$E$8,$E$9))</f>
        <v/>
      </c>
      <c r="E100" s="11" t="str">
        <f t="shared" si="16"/>
        <v/>
      </c>
      <c r="F100" s="11" t="str">
        <f t="shared" si="20"/>
        <v/>
      </c>
      <c r="G100" s="11" t="str">
        <f t="shared" si="17"/>
        <v/>
      </c>
      <c r="H100" s="19" t="str">
        <f t="shared" si="18"/>
        <v/>
      </c>
      <c r="I100" s="21">
        <f t="shared" si="21"/>
        <v>0</v>
      </c>
      <c r="J100" s="21" t="e">
        <f t="shared" si="19"/>
        <v>#N/A</v>
      </c>
      <c r="K100" s="21" t="str">
        <f t="shared" si="22"/>
        <v/>
      </c>
      <c r="Y100" s="20">
        <v>73</v>
      </c>
      <c r="Z100" s="20" t="str">
        <f t="shared" si="24"/>
        <v/>
      </c>
      <c r="AD100" s="23"/>
      <c r="AE100" s="23"/>
      <c r="AF100" s="23"/>
    </row>
    <row r="101" spans="2:32" x14ac:dyDescent="0.25">
      <c r="B101" s="9" t="e">
        <f t="shared" si="23"/>
        <v>#N/A</v>
      </c>
      <c r="C101" s="10" t="e">
        <f t="shared" si="15"/>
        <v>#N/A</v>
      </c>
      <c r="D101" s="11" t="str">
        <f>IF(ISERROR(B101),"",bsolve($B101,$E$2,$E$4,$E$8,$E$9))</f>
        <v/>
      </c>
      <c r="E101" s="11" t="str">
        <f t="shared" si="16"/>
        <v/>
      </c>
      <c r="F101" s="11" t="str">
        <f t="shared" si="20"/>
        <v/>
      </c>
      <c r="G101" s="11" t="str">
        <f t="shared" si="17"/>
        <v/>
      </c>
      <c r="H101" s="19" t="str">
        <f t="shared" si="18"/>
        <v/>
      </c>
      <c r="I101" s="21">
        <f t="shared" si="21"/>
        <v>0</v>
      </c>
      <c r="J101" s="21" t="e">
        <f t="shared" si="19"/>
        <v>#N/A</v>
      </c>
      <c r="K101" s="21" t="str">
        <f t="shared" si="22"/>
        <v/>
      </c>
      <c r="Y101" s="20">
        <v>74</v>
      </c>
      <c r="Z101" s="20" t="str">
        <f t="shared" si="24"/>
        <v/>
      </c>
      <c r="AD101" s="23"/>
      <c r="AE101" s="23"/>
      <c r="AF101" s="23"/>
    </row>
    <row r="102" spans="2:32" x14ac:dyDescent="0.25">
      <c r="B102" s="9" t="e">
        <f t="shared" si="23"/>
        <v>#N/A</v>
      </c>
      <c r="C102" s="10" t="e">
        <f t="shared" si="15"/>
        <v>#N/A</v>
      </c>
      <c r="D102" s="11" t="str">
        <f>IF(ISERROR(B102),"",bsolve($B102,$E$2,$E$4,$E$8,$E$9))</f>
        <v/>
      </c>
      <c r="E102" s="11" t="str">
        <f t="shared" si="16"/>
        <v/>
      </c>
      <c r="F102" s="11" t="str">
        <f t="shared" si="20"/>
        <v/>
      </c>
      <c r="G102" s="11" t="str">
        <f t="shared" si="17"/>
        <v/>
      </c>
      <c r="H102" s="19" t="str">
        <f t="shared" si="18"/>
        <v/>
      </c>
      <c r="I102" s="21">
        <f t="shared" si="21"/>
        <v>0</v>
      </c>
      <c r="J102" s="21" t="e">
        <f t="shared" si="19"/>
        <v>#N/A</v>
      </c>
      <c r="K102" s="21" t="str">
        <f t="shared" si="22"/>
        <v/>
      </c>
      <c r="Y102" s="20">
        <v>75</v>
      </c>
      <c r="Z102" s="20" t="str">
        <f t="shared" si="24"/>
        <v/>
      </c>
      <c r="AD102" s="23"/>
      <c r="AE102" s="23"/>
      <c r="AF102" s="23"/>
    </row>
    <row r="103" spans="2:32" x14ac:dyDescent="0.25">
      <c r="B103" s="9" t="e">
        <f t="shared" si="23"/>
        <v>#N/A</v>
      </c>
      <c r="C103" s="10" t="e">
        <f t="shared" si="15"/>
        <v>#N/A</v>
      </c>
      <c r="D103" s="11" t="str">
        <f>IF(ISERROR(B103),"",bsolve($B103,$E$2,$E$4,$E$8,$E$9))</f>
        <v/>
      </c>
      <c r="E103" s="11" t="str">
        <f t="shared" si="16"/>
        <v/>
      </c>
      <c r="F103" s="11" t="str">
        <f t="shared" si="20"/>
        <v/>
      </c>
      <c r="G103" s="11" t="str">
        <f t="shared" si="17"/>
        <v/>
      </c>
      <c r="H103" s="19" t="str">
        <f t="shared" si="18"/>
        <v/>
      </c>
      <c r="I103" s="21">
        <f t="shared" si="21"/>
        <v>0</v>
      </c>
      <c r="J103" s="21" t="e">
        <f t="shared" si="19"/>
        <v>#N/A</v>
      </c>
      <c r="K103" s="21" t="str">
        <f t="shared" si="22"/>
        <v/>
      </c>
      <c r="Y103" s="20">
        <v>76</v>
      </c>
      <c r="Z103" s="20" t="str">
        <f t="shared" si="24"/>
        <v/>
      </c>
      <c r="AD103" s="23"/>
      <c r="AE103" s="23"/>
      <c r="AF103" s="23"/>
    </row>
    <row r="104" spans="2:32" x14ac:dyDescent="0.25">
      <c r="B104" s="9" t="e">
        <f t="shared" si="23"/>
        <v>#N/A</v>
      </c>
      <c r="C104" s="10" t="e">
        <f t="shared" si="15"/>
        <v>#N/A</v>
      </c>
      <c r="D104" s="11" t="str">
        <f>IF(ISERROR(B104),"",bsolve($B104,$E$2,$E$4,$E$8,$E$9))</f>
        <v/>
      </c>
      <c r="E104" s="11" t="str">
        <f t="shared" si="16"/>
        <v/>
      </c>
      <c r="F104" s="11" t="str">
        <f t="shared" si="20"/>
        <v/>
      </c>
      <c r="G104" s="11" t="str">
        <f t="shared" si="17"/>
        <v/>
      </c>
      <c r="H104" s="19" t="str">
        <f t="shared" si="18"/>
        <v/>
      </c>
      <c r="I104" s="21">
        <f t="shared" si="21"/>
        <v>0</v>
      </c>
      <c r="J104" s="21" t="e">
        <f t="shared" si="19"/>
        <v>#N/A</v>
      </c>
      <c r="K104" s="21" t="str">
        <f t="shared" si="22"/>
        <v/>
      </c>
      <c r="Y104" s="20">
        <v>77</v>
      </c>
      <c r="Z104" s="20" t="str">
        <f t="shared" si="24"/>
        <v/>
      </c>
      <c r="AD104" s="23"/>
      <c r="AE104" s="23"/>
      <c r="AF104" s="23"/>
    </row>
    <row r="105" spans="2:32" x14ac:dyDescent="0.25">
      <c r="B105" s="9" t="e">
        <f t="shared" si="23"/>
        <v>#N/A</v>
      </c>
      <c r="C105" s="10" t="e">
        <f t="shared" si="15"/>
        <v>#N/A</v>
      </c>
      <c r="D105" s="11" t="str">
        <f>IF(ISERROR(B105),"",bsolve($B105,$E$2,$E$4,$E$8,$E$9))</f>
        <v/>
      </c>
      <c r="E105" s="11" t="str">
        <f t="shared" si="16"/>
        <v/>
      </c>
      <c r="F105" s="11" t="str">
        <f t="shared" si="20"/>
        <v/>
      </c>
      <c r="G105" s="11" t="str">
        <f t="shared" si="17"/>
        <v/>
      </c>
      <c r="H105" s="19" t="str">
        <f t="shared" si="18"/>
        <v/>
      </c>
      <c r="I105" s="21">
        <f t="shared" si="21"/>
        <v>0</v>
      </c>
      <c r="J105" s="21" t="e">
        <f t="shared" si="19"/>
        <v>#N/A</v>
      </c>
      <c r="K105" s="21" t="str">
        <f t="shared" si="22"/>
        <v/>
      </c>
      <c r="Y105" s="20">
        <v>78</v>
      </c>
      <c r="Z105" s="20" t="str">
        <f t="shared" si="24"/>
        <v/>
      </c>
      <c r="AD105" s="23"/>
      <c r="AE105" s="23"/>
      <c r="AF105" s="23"/>
    </row>
    <row r="106" spans="2:32" x14ac:dyDescent="0.25">
      <c r="B106" s="9" t="e">
        <f t="shared" si="23"/>
        <v>#N/A</v>
      </c>
      <c r="C106" s="10" t="e">
        <f t="shared" si="15"/>
        <v>#N/A</v>
      </c>
      <c r="D106" s="11" t="str">
        <f>IF(ISERROR(B106),"",bsolve($B106,$E$2,$E$4,$E$8,$E$9))</f>
        <v/>
      </c>
      <c r="E106" s="11" t="str">
        <f t="shared" si="16"/>
        <v/>
      </c>
      <c r="F106" s="11" t="str">
        <f t="shared" si="20"/>
        <v/>
      </c>
      <c r="G106" s="11" t="str">
        <f t="shared" si="17"/>
        <v/>
      </c>
      <c r="H106" s="19" t="str">
        <f t="shared" si="18"/>
        <v/>
      </c>
      <c r="I106" s="21">
        <f t="shared" si="21"/>
        <v>0</v>
      </c>
      <c r="J106" s="21" t="e">
        <f t="shared" si="19"/>
        <v>#N/A</v>
      </c>
      <c r="K106" s="21" t="str">
        <f t="shared" si="22"/>
        <v/>
      </c>
      <c r="Y106" s="20">
        <v>79</v>
      </c>
      <c r="Z106" s="20" t="str">
        <f t="shared" si="24"/>
        <v/>
      </c>
      <c r="AD106" s="23"/>
      <c r="AE106" s="23"/>
      <c r="AF106" s="23"/>
    </row>
    <row r="107" spans="2:32" x14ac:dyDescent="0.25">
      <c r="B107" s="9" t="e">
        <f t="shared" si="23"/>
        <v>#N/A</v>
      </c>
      <c r="C107" s="10" t="e">
        <f t="shared" si="15"/>
        <v>#N/A</v>
      </c>
      <c r="D107" s="11" t="str">
        <f>IF(ISERROR(B107),"",bsolve($B107,$E$2,$E$4,$E$8,$E$9))</f>
        <v/>
      </c>
      <c r="E107" s="11" t="str">
        <f t="shared" si="16"/>
        <v/>
      </c>
      <c r="F107" s="11" t="str">
        <f t="shared" si="20"/>
        <v/>
      </c>
      <c r="G107" s="11" t="str">
        <f t="shared" si="17"/>
        <v/>
      </c>
      <c r="H107" s="19" t="str">
        <f t="shared" si="18"/>
        <v/>
      </c>
      <c r="I107" s="21">
        <f t="shared" si="21"/>
        <v>0</v>
      </c>
      <c r="J107" s="21" t="e">
        <f t="shared" si="19"/>
        <v>#N/A</v>
      </c>
      <c r="K107" s="21" t="str">
        <f t="shared" si="22"/>
        <v/>
      </c>
      <c r="Y107" s="20">
        <v>80</v>
      </c>
      <c r="Z107" s="20" t="str">
        <f t="shared" si="24"/>
        <v/>
      </c>
      <c r="AD107" s="23"/>
      <c r="AE107" s="23"/>
      <c r="AF107" s="23"/>
    </row>
    <row r="108" spans="2:32" x14ac:dyDescent="0.25">
      <c r="B108" s="9" t="e">
        <f t="shared" si="23"/>
        <v>#N/A</v>
      </c>
      <c r="C108" s="10" t="e">
        <f t="shared" si="15"/>
        <v>#N/A</v>
      </c>
      <c r="D108" s="11" t="str">
        <f>IF(ISERROR(B108),"",bsolve($B108,$E$2,$E$4,$E$8,$E$9))</f>
        <v/>
      </c>
      <c r="E108" s="11" t="str">
        <f t="shared" si="16"/>
        <v/>
      </c>
      <c r="F108" s="11" t="str">
        <f t="shared" si="20"/>
        <v/>
      </c>
      <c r="G108" s="11" t="str">
        <f t="shared" si="17"/>
        <v/>
      </c>
      <c r="H108" s="19" t="str">
        <f t="shared" si="18"/>
        <v/>
      </c>
      <c r="I108" s="21">
        <f t="shared" si="21"/>
        <v>0</v>
      </c>
      <c r="J108" s="21" t="e">
        <f t="shared" si="19"/>
        <v>#N/A</v>
      </c>
      <c r="K108" s="21" t="str">
        <f t="shared" si="22"/>
        <v/>
      </c>
      <c r="Y108" s="20">
        <v>81</v>
      </c>
      <c r="Z108" s="20" t="str">
        <f t="shared" si="24"/>
        <v/>
      </c>
      <c r="AD108" s="23"/>
      <c r="AE108" s="23"/>
      <c r="AF108" s="23"/>
    </row>
    <row r="109" spans="2:32" x14ac:dyDescent="0.25">
      <c r="B109" s="9" t="e">
        <f t="shared" si="23"/>
        <v>#N/A</v>
      </c>
      <c r="C109" s="10" t="e">
        <f t="shared" si="15"/>
        <v>#N/A</v>
      </c>
      <c r="D109" s="11" t="str">
        <f>IF(ISERROR(B109),"",bsolve($B109,$E$2,$E$4,$E$8,$E$9))</f>
        <v/>
      </c>
      <c r="E109" s="11" t="str">
        <f t="shared" si="16"/>
        <v/>
      </c>
      <c r="F109" s="11" t="str">
        <f t="shared" si="20"/>
        <v/>
      </c>
      <c r="G109" s="11" t="str">
        <f t="shared" si="17"/>
        <v/>
      </c>
      <c r="H109" s="19" t="str">
        <f t="shared" si="18"/>
        <v/>
      </c>
      <c r="I109" s="21">
        <f t="shared" si="21"/>
        <v>0</v>
      </c>
      <c r="J109" s="21" t="e">
        <f t="shared" si="19"/>
        <v>#N/A</v>
      </c>
      <c r="K109" s="21" t="str">
        <f t="shared" si="22"/>
        <v/>
      </c>
      <c r="Y109" s="20">
        <v>82</v>
      </c>
      <c r="Z109" s="20" t="str">
        <f t="shared" si="24"/>
        <v/>
      </c>
      <c r="AD109" s="23"/>
      <c r="AE109" s="23"/>
      <c r="AF109" s="23"/>
    </row>
    <row r="110" spans="2:32" x14ac:dyDescent="0.25">
      <c r="B110" s="9" t="e">
        <f t="shared" si="23"/>
        <v>#N/A</v>
      </c>
      <c r="C110" s="10" t="e">
        <f t="shared" si="15"/>
        <v>#N/A</v>
      </c>
      <c r="D110" s="11" t="str">
        <f>IF(ISERROR(B110),"",bsolve($B110,$E$2,$E$4,$E$8,$E$9))</f>
        <v/>
      </c>
      <c r="E110" s="11" t="str">
        <f t="shared" si="16"/>
        <v/>
      </c>
      <c r="F110" s="11" t="str">
        <f t="shared" si="20"/>
        <v/>
      </c>
      <c r="G110" s="11" t="str">
        <f t="shared" si="17"/>
        <v/>
      </c>
      <c r="H110" s="19" t="str">
        <f t="shared" si="18"/>
        <v/>
      </c>
      <c r="I110" s="21">
        <f t="shared" si="21"/>
        <v>0</v>
      </c>
      <c r="J110" s="21" t="e">
        <f t="shared" si="19"/>
        <v>#N/A</v>
      </c>
      <c r="K110" s="21" t="str">
        <f t="shared" si="22"/>
        <v/>
      </c>
      <c r="Y110" s="20">
        <v>83</v>
      </c>
      <c r="Z110" s="20" t="str">
        <f t="shared" si="24"/>
        <v/>
      </c>
      <c r="AD110" s="23"/>
      <c r="AE110" s="23"/>
      <c r="AF110" s="23"/>
    </row>
    <row r="111" spans="2:32" x14ac:dyDescent="0.25">
      <c r="B111" s="9" t="e">
        <f t="shared" si="23"/>
        <v>#N/A</v>
      </c>
      <c r="C111" s="10" t="e">
        <f t="shared" si="15"/>
        <v>#N/A</v>
      </c>
      <c r="D111" s="11" t="str">
        <f>IF(ISERROR(B111),"",bsolve($B111,$E$2,$E$4,$E$8,$E$9))</f>
        <v/>
      </c>
      <c r="E111" s="11" t="str">
        <f t="shared" si="16"/>
        <v/>
      </c>
      <c r="F111" s="11" t="str">
        <f t="shared" si="20"/>
        <v/>
      </c>
      <c r="G111" s="11" t="str">
        <f t="shared" si="17"/>
        <v/>
      </c>
      <c r="H111" s="19" t="str">
        <f t="shared" si="18"/>
        <v/>
      </c>
      <c r="I111" s="21">
        <f t="shared" si="21"/>
        <v>0</v>
      </c>
      <c r="J111" s="21" t="e">
        <f t="shared" si="19"/>
        <v>#N/A</v>
      </c>
      <c r="K111" s="21" t="str">
        <f t="shared" si="22"/>
        <v/>
      </c>
      <c r="Y111" s="20">
        <v>84</v>
      </c>
      <c r="Z111" s="20" t="str">
        <f t="shared" si="24"/>
        <v/>
      </c>
      <c r="AD111" s="23"/>
      <c r="AE111" s="23"/>
      <c r="AF111" s="23"/>
    </row>
    <row r="112" spans="2:32" x14ac:dyDescent="0.25">
      <c r="B112" s="9" t="e">
        <f t="shared" si="23"/>
        <v>#N/A</v>
      </c>
      <c r="C112" s="10" t="e">
        <f t="shared" si="15"/>
        <v>#N/A</v>
      </c>
      <c r="D112" s="11" t="str">
        <f>IF(ISERROR(B112),"",bsolve($B112,$E$2,$E$4,$E$8,$E$9))</f>
        <v/>
      </c>
      <c r="E112" s="11" t="str">
        <f t="shared" si="16"/>
        <v/>
      </c>
      <c r="F112" s="11" t="str">
        <f t="shared" si="20"/>
        <v/>
      </c>
      <c r="G112" s="11" t="str">
        <f t="shared" si="17"/>
        <v/>
      </c>
      <c r="H112" s="19" t="str">
        <f t="shared" si="18"/>
        <v/>
      </c>
      <c r="I112" s="21">
        <f t="shared" si="21"/>
        <v>0</v>
      </c>
      <c r="J112" s="21" t="e">
        <f t="shared" si="19"/>
        <v>#N/A</v>
      </c>
      <c r="K112" s="21" t="str">
        <f t="shared" si="22"/>
        <v/>
      </c>
      <c r="Y112" s="20">
        <v>85</v>
      </c>
      <c r="Z112" s="20" t="str">
        <f t="shared" si="24"/>
        <v/>
      </c>
      <c r="AD112" s="23"/>
      <c r="AE112" s="23"/>
      <c r="AF112" s="23"/>
    </row>
    <row r="113" spans="2:32" x14ac:dyDescent="0.25">
      <c r="B113" s="9" t="e">
        <f t="shared" si="23"/>
        <v>#N/A</v>
      </c>
      <c r="C113" s="10" t="e">
        <f t="shared" si="15"/>
        <v>#N/A</v>
      </c>
      <c r="D113" s="11" t="str">
        <f>IF(ISERROR(B113),"",bsolve($B113,$E$2,$E$4,$E$8,$E$9))</f>
        <v/>
      </c>
      <c r="E113" s="11" t="str">
        <f t="shared" si="16"/>
        <v/>
      </c>
      <c r="F113" s="11" t="str">
        <f t="shared" si="20"/>
        <v/>
      </c>
      <c r="G113" s="11" t="str">
        <f t="shared" si="17"/>
        <v/>
      </c>
      <c r="H113" s="19" t="str">
        <f t="shared" si="18"/>
        <v/>
      </c>
      <c r="I113" s="21">
        <f t="shared" si="21"/>
        <v>0</v>
      </c>
      <c r="J113" s="21" t="e">
        <f t="shared" si="19"/>
        <v>#N/A</v>
      </c>
      <c r="K113" s="21" t="str">
        <f t="shared" si="22"/>
        <v/>
      </c>
      <c r="Y113" s="20">
        <v>86</v>
      </c>
      <c r="Z113" s="20" t="str">
        <f t="shared" si="24"/>
        <v/>
      </c>
      <c r="AD113" s="23"/>
      <c r="AE113" s="23"/>
      <c r="AF113" s="23"/>
    </row>
    <row r="114" spans="2:32" x14ac:dyDescent="0.25">
      <c r="B114" s="9" t="e">
        <f t="shared" si="23"/>
        <v>#N/A</v>
      </c>
      <c r="C114" s="10" t="e">
        <f t="shared" ref="C114:C145" si="25">IF(B114="","",100*B114/$E$2)</f>
        <v>#N/A</v>
      </c>
      <c r="D114" s="11" t="str">
        <f>IF(ISERROR(B114),"",bsolve($B114,$E$2,$E$4,$E$8,$E$9))</f>
        <v/>
      </c>
      <c r="E114" s="11" t="str">
        <f t="shared" ref="E114:E145" si="26">IF(ISERROR(B114),"",IF(AND($E$7&lt;$E$5,C114&gt;=($E$5*100)),D114,0))</f>
        <v/>
      </c>
      <c r="F114" s="11" t="str">
        <f t="shared" si="20"/>
        <v/>
      </c>
      <c r="G114" s="11" t="str">
        <f t="shared" ref="G114:G146" si="27">IF(ISERROR(B114),"",IF(C114&gt;=$E$5*100,D114,""))</f>
        <v/>
      </c>
      <c r="H114" s="19" t="str">
        <f t="shared" si="18"/>
        <v/>
      </c>
      <c r="I114" s="21">
        <f t="shared" si="21"/>
        <v>0</v>
      </c>
      <c r="J114" s="21" t="e">
        <f t="shared" si="19"/>
        <v>#N/A</v>
      </c>
      <c r="K114" s="21" t="str">
        <f t="shared" si="22"/>
        <v/>
      </c>
      <c r="Y114" s="20">
        <v>87</v>
      </c>
      <c r="Z114" s="20" t="str">
        <f t="shared" si="24"/>
        <v/>
      </c>
      <c r="AD114" s="23"/>
      <c r="AE114" s="23"/>
      <c r="AF114" s="23"/>
    </row>
    <row r="115" spans="2:32" x14ac:dyDescent="0.25">
      <c r="B115" s="9" t="e">
        <f t="shared" si="23"/>
        <v>#N/A</v>
      </c>
      <c r="C115" s="10" t="e">
        <f t="shared" si="25"/>
        <v>#N/A</v>
      </c>
      <c r="D115" s="11" t="str">
        <f>IF(ISERROR(B115),"",bsolve($B115,$E$2,$E$4,$E$8,$E$9))</f>
        <v/>
      </c>
      <c r="E115" s="11" t="str">
        <f t="shared" si="26"/>
        <v/>
      </c>
      <c r="F115" s="11" t="str">
        <f t="shared" si="20"/>
        <v/>
      </c>
      <c r="G115" s="11" t="str">
        <f t="shared" si="27"/>
        <v/>
      </c>
      <c r="H115" s="19" t="str">
        <f t="shared" si="18"/>
        <v/>
      </c>
      <c r="I115" s="21">
        <f t="shared" si="21"/>
        <v>0</v>
      </c>
      <c r="J115" s="21" t="e">
        <f>IF(ISERROR(B115),NA(),IF(AND(H115&gt;=$E$5*100,B115/$E$2&lt;$E$5),H115,NA()))</f>
        <v>#N/A</v>
      </c>
      <c r="K115" s="21" t="str">
        <f t="shared" si="22"/>
        <v/>
      </c>
      <c r="Y115" s="20">
        <v>88</v>
      </c>
      <c r="Z115" s="20" t="str">
        <f t="shared" si="24"/>
        <v/>
      </c>
      <c r="AD115" s="23"/>
      <c r="AE115" s="23"/>
      <c r="AF115" s="23"/>
    </row>
    <row r="116" spans="2:32" x14ac:dyDescent="0.25">
      <c r="B116" s="9" t="e">
        <f t="shared" ref="B116:B147" si="28">IF(ROW()-18&lt;=$E$2,B115+1,NA())</f>
        <v>#N/A</v>
      </c>
      <c r="C116" s="10" t="e">
        <f t="shared" si="25"/>
        <v>#N/A</v>
      </c>
      <c r="D116" s="11" t="str">
        <f>IF(ISERROR(B116),"",bsolve($B116,$E$2,$E$4,$E$8,$E$9))</f>
        <v/>
      </c>
      <c r="E116" s="11" t="str">
        <f t="shared" si="26"/>
        <v/>
      </c>
      <c r="F116" s="11" t="str">
        <f t="shared" si="20"/>
        <v/>
      </c>
      <c r="G116" s="11" t="str">
        <f t="shared" si="27"/>
        <v/>
      </c>
      <c r="H116" s="19" t="str">
        <f t="shared" si="18"/>
        <v/>
      </c>
      <c r="I116" s="21">
        <f t="shared" si="21"/>
        <v>0</v>
      </c>
      <c r="J116" s="21" t="e">
        <f t="shared" si="19"/>
        <v>#N/A</v>
      </c>
      <c r="K116" s="21" t="str">
        <f t="shared" si="22"/>
        <v/>
      </c>
      <c r="Y116" s="20">
        <v>89</v>
      </c>
      <c r="Z116" s="20" t="str">
        <f t="shared" si="24"/>
        <v/>
      </c>
      <c r="AD116" s="23"/>
      <c r="AE116" s="23"/>
      <c r="AF116" s="23"/>
    </row>
    <row r="117" spans="2:32" x14ac:dyDescent="0.25">
      <c r="B117" s="9" t="e">
        <f t="shared" si="28"/>
        <v>#N/A</v>
      </c>
      <c r="C117" s="10" t="e">
        <f t="shared" si="25"/>
        <v>#N/A</v>
      </c>
      <c r="D117" s="11" t="str">
        <f>IF(ISERROR(B117),"",bsolve($B117,$E$2,$E$4,$E$8,$E$9))</f>
        <v/>
      </c>
      <c r="E117" s="11" t="str">
        <f t="shared" si="26"/>
        <v/>
      </c>
      <c r="F117" s="11" t="str">
        <f t="shared" si="20"/>
        <v/>
      </c>
      <c r="G117" s="11" t="str">
        <f t="shared" si="27"/>
        <v/>
      </c>
      <c r="H117" s="19" t="str">
        <f t="shared" si="18"/>
        <v/>
      </c>
      <c r="I117" s="21">
        <f t="shared" si="21"/>
        <v>0</v>
      </c>
      <c r="J117" s="21" t="e">
        <f t="shared" si="19"/>
        <v>#N/A</v>
      </c>
      <c r="K117" s="21" t="str">
        <f t="shared" si="22"/>
        <v/>
      </c>
      <c r="Y117" s="20">
        <v>90</v>
      </c>
      <c r="Z117" s="20" t="str">
        <f t="shared" si="24"/>
        <v/>
      </c>
      <c r="AD117" s="23"/>
      <c r="AE117" s="23"/>
      <c r="AF117" s="23"/>
    </row>
    <row r="118" spans="2:32" x14ac:dyDescent="0.25">
      <c r="B118" s="9" t="e">
        <f t="shared" si="28"/>
        <v>#N/A</v>
      </c>
      <c r="C118" s="10" t="e">
        <f t="shared" si="25"/>
        <v>#N/A</v>
      </c>
      <c r="D118" s="11" t="str">
        <f>IF(ISERROR(B118),"",bsolve($B118,$E$2,$E$4,$E$8,$E$9))</f>
        <v/>
      </c>
      <c r="E118" s="11" t="str">
        <f t="shared" si="26"/>
        <v/>
      </c>
      <c r="F118" s="11" t="str">
        <f t="shared" si="20"/>
        <v/>
      </c>
      <c r="G118" s="11" t="str">
        <f t="shared" si="27"/>
        <v/>
      </c>
      <c r="H118" s="19" t="str">
        <f t="shared" si="18"/>
        <v/>
      </c>
      <c r="I118" s="21">
        <f t="shared" si="21"/>
        <v>0</v>
      </c>
      <c r="J118" s="21" t="e">
        <f t="shared" si="19"/>
        <v>#N/A</v>
      </c>
      <c r="K118" s="21" t="str">
        <f t="shared" si="22"/>
        <v/>
      </c>
      <c r="Y118" s="20">
        <v>91</v>
      </c>
      <c r="Z118" s="20" t="str">
        <f t="shared" si="24"/>
        <v/>
      </c>
      <c r="AD118" s="23"/>
      <c r="AE118" s="23"/>
      <c r="AF118" s="23"/>
    </row>
    <row r="119" spans="2:32" x14ac:dyDescent="0.25">
      <c r="B119" s="9" t="e">
        <f t="shared" si="28"/>
        <v>#N/A</v>
      </c>
      <c r="C119" s="10" t="e">
        <f t="shared" si="25"/>
        <v>#N/A</v>
      </c>
      <c r="D119" s="11" t="str">
        <f>IF(ISERROR(B119),"",bsolve($B119,$E$2,$E$4,$E$8,$E$9))</f>
        <v/>
      </c>
      <c r="E119" s="11" t="str">
        <f t="shared" si="26"/>
        <v/>
      </c>
      <c r="F119" s="11" t="str">
        <f t="shared" si="20"/>
        <v/>
      </c>
      <c r="G119" s="11" t="str">
        <f t="shared" si="27"/>
        <v/>
      </c>
      <c r="H119" s="19" t="str">
        <f t="shared" si="18"/>
        <v/>
      </c>
      <c r="I119" s="21">
        <f t="shared" si="21"/>
        <v>0</v>
      </c>
      <c r="J119" s="21" t="e">
        <f t="shared" si="19"/>
        <v>#N/A</v>
      </c>
      <c r="K119" s="21" t="str">
        <f t="shared" si="22"/>
        <v/>
      </c>
      <c r="Y119" s="20">
        <v>92</v>
      </c>
      <c r="Z119" s="20" t="str">
        <f t="shared" si="24"/>
        <v/>
      </c>
      <c r="AD119" s="23"/>
      <c r="AE119" s="23"/>
      <c r="AF119" s="23"/>
    </row>
    <row r="120" spans="2:32" x14ac:dyDescent="0.25">
      <c r="B120" s="9" t="e">
        <f t="shared" si="28"/>
        <v>#N/A</v>
      </c>
      <c r="C120" s="10" t="e">
        <f t="shared" si="25"/>
        <v>#N/A</v>
      </c>
      <c r="D120" s="11" t="str">
        <f>IF(ISERROR(B120),"",bsolve($B120,$E$2,$E$4,$E$8,$E$9))</f>
        <v/>
      </c>
      <c r="E120" s="11" t="str">
        <f t="shared" si="26"/>
        <v/>
      </c>
      <c r="F120" s="11" t="str">
        <f t="shared" si="20"/>
        <v/>
      </c>
      <c r="G120" s="11" t="str">
        <f t="shared" si="27"/>
        <v/>
      </c>
      <c r="H120" s="19" t="str">
        <f t="shared" si="18"/>
        <v/>
      </c>
      <c r="I120" s="21">
        <f t="shared" si="21"/>
        <v>0</v>
      </c>
      <c r="J120" s="21" t="e">
        <f t="shared" si="19"/>
        <v>#N/A</v>
      </c>
      <c r="K120" s="21" t="str">
        <f t="shared" si="22"/>
        <v/>
      </c>
      <c r="Y120" s="20">
        <v>93</v>
      </c>
      <c r="Z120" s="20" t="str">
        <f t="shared" si="24"/>
        <v/>
      </c>
      <c r="AD120" s="23"/>
      <c r="AE120" s="23"/>
      <c r="AF120" s="23"/>
    </row>
    <row r="121" spans="2:32" x14ac:dyDescent="0.25">
      <c r="B121" s="9" t="e">
        <f t="shared" si="28"/>
        <v>#N/A</v>
      </c>
      <c r="C121" s="10" t="e">
        <f t="shared" si="25"/>
        <v>#N/A</v>
      </c>
      <c r="D121" s="11" t="str">
        <f>IF(ISERROR(B121),"",bsolve($B121,$E$2,$E$4,$E$8,$E$9))</f>
        <v/>
      </c>
      <c r="E121" s="11" t="str">
        <f t="shared" si="26"/>
        <v/>
      </c>
      <c r="F121" s="11" t="str">
        <f t="shared" si="20"/>
        <v/>
      </c>
      <c r="G121" s="11" t="str">
        <f t="shared" si="27"/>
        <v/>
      </c>
      <c r="H121" s="19" t="str">
        <f t="shared" si="18"/>
        <v/>
      </c>
      <c r="I121" s="21">
        <f t="shared" si="21"/>
        <v>0</v>
      </c>
      <c r="J121" s="21" t="e">
        <f t="shared" si="19"/>
        <v>#N/A</v>
      </c>
      <c r="K121" s="21" t="str">
        <f t="shared" si="22"/>
        <v/>
      </c>
      <c r="Y121" s="20">
        <v>94</v>
      </c>
      <c r="Z121" s="20" t="str">
        <f t="shared" si="24"/>
        <v/>
      </c>
      <c r="AD121" s="23"/>
      <c r="AE121" s="23"/>
      <c r="AF121" s="23"/>
    </row>
    <row r="122" spans="2:32" x14ac:dyDescent="0.25">
      <c r="B122" s="9" t="e">
        <f t="shared" si="28"/>
        <v>#N/A</v>
      </c>
      <c r="C122" s="10" t="e">
        <f t="shared" si="25"/>
        <v>#N/A</v>
      </c>
      <c r="D122" s="11" t="str">
        <f>IF(ISERROR(B122),"",bsolve($B122,$E$2,$E$4,$E$8,$E$9))</f>
        <v/>
      </c>
      <c r="E122" s="11" t="str">
        <f t="shared" si="26"/>
        <v/>
      </c>
      <c r="F122" s="11" t="str">
        <f t="shared" si="20"/>
        <v/>
      </c>
      <c r="G122" s="11" t="str">
        <f t="shared" si="27"/>
        <v/>
      </c>
      <c r="H122" s="19" t="str">
        <f t="shared" si="18"/>
        <v/>
      </c>
      <c r="I122" s="21">
        <f t="shared" si="21"/>
        <v>0</v>
      </c>
      <c r="J122" s="21" t="e">
        <f t="shared" si="19"/>
        <v>#N/A</v>
      </c>
      <c r="K122" s="21" t="str">
        <f t="shared" si="22"/>
        <v/>
      </c>
      <c r="Y122" s="20">
        <v>95</v>
      </c>
      <c r="Z122" s="20" t="str">
        <f t="shared" si="24"/>
        <v/>
      </c>
      <c r="AD122" s="23"/>
      <c r="AE122" s="23"/>
      <c r="AF122" s="23"/>
    </row>
    <row r="123" spans="2:32" x14ac:dyDescent="0.25">
      <c r="B123" s="9" t="e">
        <f t="shared" si="28"/>
        <v>#N/A</v>
      </c>
      <c r="C123" s="10" t="e">
        <f t="shared" si="25"/>
        <v>#N/A</v>
      </c>
      <c r="D123" s="11" t="str">
        <f>IF(ISERROR(B123),"",bsolve($B123,$E$2,$E$4,$E$8,$E$9))</f>
        <v/>
      </c>
      <c r="E123" s="11" t="str">
        <f t="shared" si="26"/>
        <v/>
      </c>
      <c r="F123" s="11" t="str">
        <f t="shared" si="20"/>
        <v/>
      </c>
      <c r="G123" s="11" t="str">
        <f t="shared" si="27"/>
        <v/>
      </c>
      <c r="H123" s="19" t="str">
        <f t="shared" si="18"/>
        <v/>
      </c>
      <c r="I123" s="21">
        <f t="shared" si="21"/>
        <v>0</v>
      </c>
      <c r="J123" s="21" t="e">
        <f t="shared" si="19"/>
        <v>#N/A</v>
      </c>
      <c r="K123" s="21" t="str">
        <f t="shared" si="22"/>
        <v/>
      </c>
      <c r="Y123" s="20">
        <v>96</v>
      </c>
      <c r="Z123" s="20" t="str">
        <f>IF(Y123&lt;$Z$25-1,1/($Z$25-Y123),"")</f>
        <v/>
      </c>
      <c r="AD123" s="23"/>
      <c r="AE123" s="23"/>
      <c r="AF123" s="23"/>
    </row>
    <row r="124" spans="2:32" x14ac:dyDescent="0.25">
      <c r="B124" s="9" t="e">
        <f t="shared" si="28"/>
        <v>#N/A</v>
      </c>
      <c r="C124" s="10" t="e">
        <f t="shared" si="25"/>
        <v>#N/A</v>
      </c>
      <c r="D124" s="11" t="str">
        <f>IF(ISERROR(B124),"",bsolve($B124,$E$2,$E$4,$E$8,$E$9))</f>
        <v/>
      </c>
      <c r="E124" s="11" t="str">
        <f t="shared" si="26"/>
        <v/>
      </c>
      <c r="F124" s="11" t="str">
        <f t="shared" si="20"/>
        <v/>
      </c>
      <c r="G124" s="11" t="str">
        <f t="shared" si="27"/>
        <v/>
      </c>
      <c r="H124" s="19" t="str">
        <f t="shared" si="18"/>
        <v/>
      </c>
      <c r="I124" s="21">
        <f t="shared" si="21"/>
        <v>0</v>
      </c>
      <c r="J124" s="21" t="e">
        <f t="shared" si="19"/>
        <v>#N/A</v>
      </c>
      <c r="K124" s="21" t="str">
        <f t="shared" si="22"/>
        <v/>
      </c>
      <c r="Y124" s="20">
        <v>97</v>
      </c>
      <c r="Z124" s="20" t="str">
        <f>IF(Y124&lt;$Z$25-1,1/($Z$25-Y124),"")</f>
        <v/>
      </c>
      <c r="AD124" s="23"/>
      <c r="AE124" s="23"/>
      <c r="AF124" s="23"/>
    </row>
    <row r="125" spans="2:32" x14ac:dyDescent="0.25">
      <c r="B125" s="9" t="e">
        <f t="shared" si="28"/>
        <v>#N/A</v>
      </c>
      <c r="C125" s="10" t="e">
        <f t="shared" si="25"/>
        <v>#N/A</v>
      </c>
      <c r="D125" s="11" t="str">
        <f>IF(ISERROR(B125),"",bsolve($B125,$E$2,$E$4,$E$8,$E$9))</f>
        <v/>
      </c>
      <c r="E125" s="11" t="str">
        <f t="shared" si="26"/>
        <v/>
      </c>
      <c r="F125" s="11" t="str">
        <f t="shared" si="20"/>
        <v/>
      </c>
      <c r="G125" s="11" t="str">
        <f t="shared" si="27"/>
        <v/>
      </c>
      <c r="H125" s="19" t="str">
        <f t="shared" si="18"/>
        <v/>
      </c>
      <c r="I125" s="21">
        <f t="shared" si="21"/>
        <v>0</v>
      </c>
      <c r="J125" s="21" t="e">
        <f t="shared" si="19"/>
        <v>#N/A</v>
      </c>
      <c r="K125" s="21" t="str">
        <f t="shared" si="22"/>
        <v/>
      </c>
      <c r="Y125" s="20">
        <v>98</v>
      </c>
      <c r="Z125" s="20" t="str">
        <f>IF(Y125&lt;$Z$25-1,1/($Z$25-Y125),"")</f>
        <v/>
      </c>
      <c r="AD125" s="23"/>
      <c r="AE125" s="23"/>
      <c r="AF125" s="23"/>
    </row>
    <row r="126" spans="2:32" x14ac:dyDescent="0.25">
      <c r="B126" s="9" t="e">
        <f t="shared" si="28"/>
        <v>#N/A</v>
      </c>
      <c r="C126" s="10" t="e">
        <f t="shared" si="25"/>
        <v>#N/A</v>
      </c>
      <c r="D126" s="11" t="str">
        <f>IF(ISERROR(B126),"",bsolve($B126,$E$2,$E$4,$E$8,$E$9))</f>
        <v/>
      </c>
      <c r="E126" s="11" t="str">
        <f t="shared" si="26"/>
        <v/>
      </c>
      <c r="F126" s="11" t="str">
        <f t="shared" si="20"/>
        <v/>
      </c>
      <c r="G126" s="11" t="str">
        <f t="shared" si="27"/>
        <v/>
      </c>
      <c r="H126" s="19" t="str">
        <f t="shared" si="18"/>
        <v/>
      </c>
      <c r="I126" s="21">
        <f t="shared" si="21"/>
        <v>0</v>
      </c>
      <c r="J126" s="21" t="e">
        <f t="shared" si="19"/>
        <v>#N/A</v>
      </c>
      <c r="K126" s="21" t="str">
        <f t="shared" si="22"/>
        <v/>
      </c>
      <c r="Y126" s="20">
        <v>99</v>
      </c>
      <c r="Z126" s="20" t="str">
        <f>IF(Y126&lt;$Z$25-1,1/($Z$25-Y126),"")</f>
        <v/>
      </c>
      <c r="AD126" s="23"/>
      <c r="AE126" s="23"/>
      <c r="AF126" s="23"/>
    </row>
    <row r="127" spans="2:32" x14ac:dyDescent="0.25">
      <c r="B127" s="9" t="e">
        <f t="shared" si="28"/>
        <v>#N/A</v>
      </c>
      <c r="C127" s="10" t="e">
        <f t="shared" si="25"/>
        <v>#N/A</v>
      </c>
      <c r="D127" s="11" t="str">
        <f>IF(ISERROR(B127),"",bsolve($B127,$E$2,$E$4,$E$8,$E$9))</f>
        <v/>
      </c>
      <c r="E127" s="11" t="str">
        <f t="shared" si="26"/>
        <v/>
      </c>
      <c r="F127" s="11" t="str">
        <f t="shared" si="20"/>
        <v/>
      </c>
      <c r="G127" s="11" t="str">
        <f t="shared" si="27"/>
        <v/>
      </c>
      <c r="H127" s="19" t="str">
        <f t="shared" si="18"/>
        <v/>
      </c>
      <c r="I127" s="21">
        <f t="shared" si="21"/>
        <v>0</v>
      </c>
      <c r="J127" s="21" t="e">
        <f t="shared" si="19"/>
        <v>#N/A</v>
      </c>
      <c r="K127" s="21" t="str">
        <f t="shared" si="22"/>
        <v/>
      </c>
      <c r="Y127" s="20">
        <v>100</v>
      </c>
      <c r="Z127" s="20" t="str">
        <f>IF(Y127&lt;$Z$25-1,1/($Z$25-Y127),"")</f>
        <v/>
      </c>
      <c r="AD127" s="23"/>
      <c r="AE127" s="23"/>
      <c r="AF127" s="23"/>
    </row>
    <row r="128" spans="2:32" x14ac:dyDescent="0.25">
      <c r="B128" s="9" t="e">
        <f t="shared" si="28"/>
        <v>#N/A</v>
      </c>
      <c r="C128" s="10" t="e">
        <f t="shared" si="25"/>
        <v>#N/A</v>
      </c>
      <c r="D128" s="11" t="str">
        <f>IF(ISERROR(B128),"",bsolve($B128,$E$2,$E$4,$E$8,$E$9))</f>
        <v/>
      </c>
      <c r="E128" s="11" t="str">
        <f t="shared" si="26"/>
        <v/>
      </c>
      <c r="F128" s="11" t="str">
        <f t="shared" si="20"/>
        <v/>
      </c>
      <c r="G128" s="11" t="str">
        <f t="shared" si="27"/>
        <v/>
      </c>
      <c r="H128" s="19" t="str">
        <f t="shared" si="18"/>
        <v/>
      </c>
      <c r="I128" s="21">
        <f t="shared" si="21"/>
        <v>0</v>
      </c>
      <c r="J128" s="21" t="e">
        <f t="shared" si="19"/>
        <v>#N/A</v>
      </c>
      <c r="K128" s="21" t="str">
        <f t="shared" si="22"/>
        <v/>
      </c>
    </row>
    <row r="129" spans="2:11" x14ac:dyDescent="0.25">
      <c r="B129" s="9" t="e">
        <f t="shared" si="28"/>
        <v>#N/A</v>
      </c>
      <c r="C129" s="10" t="e">
        <f t="shared" si="25"/>
        <v>#N/A</v>
      </c>
      <c r="D129" s="11" t="str">
        <f>IF(ISERROR(B129),"",bsolve($B129,$E$2,$E$4,$E$8,$E$9))</f>
        <v/>
      </c>
      <c r="E129" s="11" t="str">
        <f t="shared" si="26"/>
        <v/>
      </c>
      <c r="F129" s="11" t="str">
        <f t="shared" si="20"/>
        <v/>
      </c>
      <c r="G129" s="11" t="str">
        <f t="shared" si="27"/>
        <v/>
      </c>
      <c r="H129" s="19" t="str">
        <f t="shared" si="18"/>
        <v/>
      </c>
      <c r="I129" s="21">
        <f t="shared" si="21"/>
        <v>0</v>
      </c>
      <c r="J129" s="21" t="e">
        <f t="shared" si="19"/>
        <v>#N/A</v>
      </c>
      <c r="K129" s="21" t="str">
        <f t="shared" si="22"/>
        <v/>
      </c>
    </row>
    <row r="130" spans="2:11" x14ac:dyDescent="0.25">
      <c r="B130" s="9" t="e">
        <f t="shared" si="28"/>
        <v>#N/A</v>
      </c>
      <c r="C130" s="10" t="e">
        <f t="shared" si="25"/>
        <v>#N/A</v>
      </c>
      <c r="D130" s="11" t="str">
        <f>IF(ISERROR(B130),"",bsolve($B130,$E$2,$E$4,$E$8,$E$9))</f>
        <v/>
      </c>
      <c r="E130" s="11" t="str">
        <f t="shared" si="26"/>
        <v/>
      </c>
      <c r="F130" s="11" t="str">
        <f t="shared" si="20"/>
        <v/>
      </c>
      <c r="G130" s="11" t="str">
        <f t="shared" si="27"/>
        <v/>
      </c>
      <c r="H130" s="19" t="str">
        <f t="shared" si="18"/>
        <v/>
      </c>
      <c r="I130" s="21">
        <f t="shared" si="21"/>
        <v>0</v>
      </c>
      <c r="J130" s="21" t="e">
        <f t="shared" si="19"/>
        <v>#N/A</v>
      </c>
      <c r="K130" s="21" t="str">
        <f t="shared" si="22"/>
        <v/>
      </c>
    </row>
    <row r="131" spans="2:11" x14ac:dyDescent="0.25">
      <c r="B131" s="9" t="e">
        <f t="shared" si="28"/>
        <v>#N/A</v>
      </c>
      <c r="C131" s="10" t="e">
        <f t="shared" si="25"/>
        <v>#N/A</v>
      </c>
      <c r="D131" s="11" t="str">
        <f>IF(ISERROR(B131),"",bsolve($B131,$E$2,$E$4,$E$8,$E$9))</f>
        <v/>
      </c>
      <c r="E131" s="11" t="str">
        <f t="shared" si="26"/>
        <v/>
      </c>
      <c r="F131" s="11" t="str">
        <f t="shared" si="20"/>
        <v/>
      </c>
      <c r="G131" s="11" t="str">
        <f t="shared" si="27"/>
        <v/>
      </c>
      <c r="H131" s="19" t="str">
        <f t="shared" si="18"/>
        <v/>
      </c>
      <c r="I131" s="21">
        <f t="shared" si="21"/>
        <v>0</v>
      </c>
      <c r="J131" s="21" t="e">
        <f t="shared" si="19"/>
        <v>#N/A</v>
      </c>
      <c r="K131" s="21" t="str">
        <f t="shared" si="22"/>
        <v/>
      </c>
    </row>
    <row r="132" spans="2:11" x14ac:dyDescent="0.25">
      <c r="B132" s="9" t="e">
        <f t="shared" si="28"/>
        <v>#N/A</v>
      </c>
      <c r="C132" s="10" t="e">
        <f t="shared" si="25"/>
        <v>#N/A</v>
      </c>
      <c r="D132" s="11" t="str">
        <f>IF(ISERROR(B132),"",bsolve($B132,$E$2,$E$4,$E$8,$E$9))</f>
        <v/>
      </c>
      <c r="E132" s="11" t="str">
        <f t="shared" si="26"/>
        <v/>
      </c>
      <c r="F132" s="11" t="str">
        <f t="shared" si="20"/>
        <v/>
      </c>
      <c r="G132" s="11" t="str">
        <f t="shared" si="27"/>
        <v/>
      </c>
      <c r="H132" s="19" t="str">
        <f t="shared" si="18"/>
        <v/>
      </c>
      <c r="I132" s="21">
        <f t="shared" si="21"/>
        <v>0</v>
      </c>
      <c r="J132" s="21" t="e">
        <f t="shared" si="19"/>
        <v>#N/A</v>
      </c>
      <c r="K132" s="21" t="str">
        <f t="shared" si="22"/>
        <v/>
      </c>
    </row>
    <row r="133" spans="2:11" x14ac:dyDescent="0.25">
      <c r="B133" s="9" t="e">
        <f t="shared" si="28"/>
        <v>#N/A</v>
      </c>
      <c r="C133" s="10" t="e">
        <f t="shared" si="25"/>
        <v>#N/A</v>
      </c>
      <c r="D133" s="11" t="str">
        <f>IF(ISERROR(B133),"",bsolve($B133,$E$2,$E$4,$E$8,$E$9))</f>
        <v/>
      </c>
      <c r="E133" s="11" t="str">
        <f t="shared" si="26"/>
        <v/>
      </c>
      <c r="F133" s="11" t="str">
        <f t="shared" si="20"/>
        <v/>
      </c>
      <c r="G133" s="11" t="str">
        <f t="shared" si="27"/>
        <v/>
      </c>
      <c r="H133" s="19" t="str">
        <f t="shared" si="18"/>
        <v/>
      </c>
      <c r="I133" s="21">
        <f t="shared" si="21"/>
        <v>0</v>
      </c>
      <c r="J133" s="21" t="e">
        <f t="shared" si="19"/>
        <v>#N/A</v>
      </c>
      <c r="K133" s="21" t="str">
        <f t="shared" si="22"/>
        <v/>
      </c>
    </row>
    <row r="134" spans="2:11" x14ac:dyDescent="0.25">
      <c r="B134" s="9" t="e">
        <f t="shared" si="28"/>
        <v>#N/A</v>
      </c>
      <c r="C134" s="10" t="e">
        <f t="shared" si="25"/>
        <v>#N/A</v>
      </c>
      <c r="D134" s="11" t="str">
        <f>IF(ISERROR(B134),"",bsolve($B134,$E$2,$E$4,$E$8,$E$9))</f>
        <v/>
      </c>
      <c r="E134" s="11" t="str">
        <f t="shared" si="26"/>
        <v/>
      </c>
      <c r="F134" s="11" t="str">
        <f t="shared" si="20"/>
        <v/>
      </c>
      <c r="G134" s="11" t="str">
        <f t="shared" si="27"/>
        <v/>
      </c>
      <c r="H134" s="19" t="str">
        <f t="shared" si="18"/>
        <v/>
      </c>
      <c r="I134" s="21">
        <f t="shared" si="21"/>
        <v>0</v>
      </c>
      <c r="J134" s="21" t="e">
        <f t="shared" si="19"/>
        <v>#N/A</v>
      </c>
      <c r="K134" s="21" t="str">
        <f t="shared" si="22"/>
        <v/>
      </c>
    </row>
    <row r="135" spans="2:11" x14ac:dyDescent="0.25">
      <c r="B135" s="9" t="e">
        <f t="shared" si="28"/>
        <v>#N/A</v>
      </c>
      <c r="C135" s="10" t="e">
        <f t="shared" si="25"/>
        <v>#N/A</v>
      </c>
      <c r="D135" s="11" t="str">
        <f>IF(ISERROR(B135),"",bsolve($B135,$E$2,$E$4,$E$8,$E$9))</f>
        <v/>
      </c>
      <c r="E135" s="11" t="str">
        <f t="shared" si="26"/>
        <v/>
      </c>
      <c r="F135" s="11" t="str">
        <f t="shared" si="20"/>
        <v/>
      </c>
      <c r="G135" s="11" t="str">
        <f t="shared" si="27"/>
        <v/>
      </c>
      <c r="H135" s="19" t="str">
        <f t="shared" si="18"/>
        <v/>
      </c>
      <c r="I135" s="21">
        <f t="shared" si="21"/>
        <v>0</v>
      </c>
      <c r="J135" s="21" t="e">
        <f t="shared" si="19"/>
        <v>#N/A</v>
      </c>
      <c r="K135" s="21" t="str">
        <f t="shared" si="22"/>
        <v/>
      </c>
    </row>
    <row r="136" spans="2:11" x14ac:dyDescent="0.25">
      <c r="B136" s="9" t="e">
        <f t="shared" si="28"/>
        <v>#N/A</v>
      </c>
      <c r="C136" s="10" t="e">
        <f t="shared" si="25"/>
        <v>#N/A</v>
      </c>
      <c r="D136" s="11" t="str">
        <f>IF(ISERROR(B136),"",bsolve($B136,$E$2,$E$4,$E$8,$E$9))</f>
        <v/>
      </c>
      <c r="E136" s="11" t="str">
        <f t="shared" si="26"/>
        <v/>
      </c>
      <c r="F136" s="11" t="str">
        <f t="shared" si="20"/>
        <v/>
      </c>
      <c r="G136" s="11" t="str">
        <f t="shared" si="27"/>
        <v/>
      </c>
      <c r="H136" s="19" t="str">
        <f t="shared" si="18"/>
        <v/>
      </c>
      <c r="I136" s="21">
        <f t="shared" si="21"/>
        <v>0</v>
      </c>
      <c r="J136" s="21" t="e">
        <f t="shared" si="19"/>
        <v>#N/A</v>
      </c>
      <c r="K136" s="21" t="str">
        <f t="shared" si="22"/>
        <v/>
      </c>
    </row>
    <row r="137" spans="2:11" x14ac:dyDescent="0.25">
      <c r="B137" s="9" t="e">
        <f t="shared" si="28"/>
        <v>#N/A</v>
      </c>
      <c r="C137" s="10" t="e">
        <f t="shared" si="25"/>
        <v>#N/A</v>
      </c>
      <c r="D137" s="11" t="str">
        <f>IF(ISERROR(B137),"",bsolve($B137,$E$2,$E$4,$E$8,$E$9))</f>
        <v/>
      </c>
      <c r="E137" s="11" t="str">
        <f t="shared" si="26"/>
        <v/>
      </c>
      <c r="F137" s="11" t="str">
        <f t="shared" si="20"/>
        <v/>
      </c>
      <c r="G137" s="11" t="str">
        <f t="shared" si="27"/>
        <v/>
      </c>
      <c r="H137" s="19" t="str">
        <f t="shared" si="18"/>
        <v/>
      </c>
      <c r="I137" s="21">
        <f t="shared" si="21"/>
        <v>0</v>
      </c>
      <c r="J137" s="21" t="e">
        <f t="shared" si="19"/>
        <v>#N/A</v>
      </c>
      <c r="K137" s="21" t="str">
        <f t="shared" si="22"/>
        <v/>
      </c>
    </row>
    <row r="138" spans="2:11" x14ac:dyDescent="0.25">
      <c r="B138" s="9" t="e">
        <f t="shared" si="28"/>
        <v>#N/A</v>
      </c>
      <c r="C138" s="10" t="e">
        <f t="shared" si="25"/>
        <v>#N/A</v>
      </c>
      <c r="D138" s="11" t="str">
        <f>IF(ISERROR(B138),"",bsolve($B138,$E$2,$E$4,$E$8,$E$9))</f>
        <v/>
      </c>
      <c r="E138" s="11" t="str">
        <f t="shared" si="26"/>
        <v/>
      </c>
      <c r="F138" s="11" t="str">
        <f t="shared" si="20"/>
        <v/>
      </c>
      <c r="G138" s="11" t="str">
        <f t="shared" si="27"/>
        <v/>
      </c>
      <c r="H138" s="19" t="str">
        <f t="shared" si="18"/>
        <v/>
      </c>
      <c r="I138" s="21">
        <f t="shared" si="21"/>
        <v>0</v>
      </c>
      <c r="J138" s="21" t="e">
        <f>IF(ISERROR(B138),NA(),IF(AND(H138&gt;=$E$5*100,B138/$E$2&lt;$E$5),H138,NA()))</f>
        <v>#N/A</v>
      </c>
      <c r="K138" s="21" t="str">
        <f t="shared" si="22"/>
        <v/>
      </c>
    </row>
    <row r="139" spans="2:11" x14ac:dyDescent="0.25">
      <c r="B139" s="9" t="e">
        <f t="shared" si="28"/>
        <v>#N/A</v>
      </c>
      <c r="C139" s="10" t="e">
        <f t="shared" si="25"/>
        <v>#N/A</v>
      </c>
      <c r="D139" s="11" t="str">
        <f>IF(ISERROR(B139),"",bsolve($B139,$E$2,$E$4,$E$8,$E$9))</f>
        <v/>
      </c>
      <c r="E139" s="11" t="str">
        <f t="shared" si="26"/>
        <v/>
      </c>
      <c r="F139" s="11" t="str">
        <f t="shared" si="20"/>
        <v/>
      </c>
      <c r="G139" s="11" t="str">
        <f t="shared" si="27"/>
        <v/>
      </c>
      <c r="H139" s="19" t="str">
        <f t="shared" si="18"/>
        <v/>
      </c>
      <c r="I139" s="21">
        <f t="shared" si="21"/>
        <v>0</v>
      </c>
      <c r="J139" s="21" t="e">
        <f t="shared" si="19"/>
        <v>#N/A</v>
      </c>
      <c r="K139" s="21" t="str">
        <f t="shared" si="22"/>
        <v/>
      </c>
    </row>
    <row r="140" spans="2:11" x14ac:dyDescent="0.25">
      <c r="B140" s="9" t="e">
        <f t="shared" si="28"/>
        <v>#N/A</v>
      </c>
      <c r="C140" s="10" t="e">
        <f t="shared" si="25"/>
        <v>#N/A</v>
      </c>
      <c r="D140" s="11" t="str">
        <f>IF(ISERROR(B140),"",bsolve($B140,$E$2,$E$4,$E$8,$E$9))</f>
        <v/>
      </c>
      <c r="E140" s="11" t="str">
        <f t="shared" si="26"/>
        <v/>
      </c>
      <c r="F140" s="11" t="str">
        <f t="shared" si="20"/>
        <v/>
      </c>
      <c r="G140" s="11" t="str">
        <f t="shared" si="27"/>
        <v/>
      </c>
      <c r="H140" s="19" t="str">
        <f t="shared" si="18"/>
        <v/>
      </c>
      <c r="I140" s="21">
        <f t="shared" si="21"/>
        <v>0</v>
      </c>
      <c r="J140" s="21" t="e">
        <f t="shared" si="19"/>
        <v>#N/A</v>
      </c>
      <c r="K140" s="21" t="str">
        <f t="shared" si="22"/>
        <v/>
      </c>
    </row>
    <row r="141" spans="2:11" x14ac:dyDescent="0.25">
      <c r="B141" s="9" t="e">
        <f t="shared" si="28"/>
        <v>#N/A</v>
      </c>
      <c r="C141" s="10" t="e">
        <f t="shared" si="25"/>
        <v>#N/A</v>
      </c>
      <c r="D141" s="11" t="str">
        <f>IF(ISERROR(B141),"",bsolve($B141,$E$2,$E$4,$E$8,$E$9))</f>
        <v/>
      </c>
      <c r="E141" s="11" t="str">
        <f t="shared" si="26"/>
        <v/>
      </c>
      <c r="F141" s="11" t="str">
        <f t="shared" si="20"/>
        <v/>
      </c>
      <c r="G141" s="11" t="str">
        <f t="shared" si="27"/>
        <v/>
      </c>
      <c r="H141" s="19" t="str">
        <f t="shared" si="18"/>
        <v/>
      </c>
      <c r="I141" s="21">
        <f t="shared" si="21"/>
        <v>0</v>
      </c>
      <c r="J141" s="21" t="e">
        <f t="shared" si="19"/>
        <v>#N/A</v>
      </c>
      <c r="K141" s="21" t="str">
        <f t="shared" si="22"/>
        <v/>
      </c>
    </row>
    <row r="142" spans="2:11" x14ac:dyDescent="0.25">
      <c r="B142" s="9" t="e">
        <f t="shared" si="28"/>
        <v>#N/A</v>
      </c>
      <c r="C142" s="10" t="e">
        <f t="shared" si="25"/>
        <v>#N/A</v>
      </c>
      <c r="D142" s="11" t="str">
        <f>IF(ISERROR(B142),"",bsolve($B142,$E$2,$E$4,$E$8,$E$9))</f>
        <v/>
      </c>
      <c r="E142" s="11" t="str">
        <f t="shared" si="26"/>
        <v/>
      </c>
      <c r="F142" s="11" t="str">
        <f t="shared" si="20"/>
        <v/>
      </c>
      <c r="G142" s="11" t="str">
        <f t="shared" si="27"/>
        <v/>
      </c>
      <c r="H142" s="19" t="str">
        <f t="shared" si="18"/>
        <v/>
      </c>
      <c r="I142" s="21">
        <f t="shared" si="21"/>
        <v>0</v>
      </c>
      <c r="J142" s="21" t="e">
        <f t="shared" si="19"/>
        <v>#N/A</v>
      </c>
      <c r="K142" s="21" t="str">
        <f t="shared" si="22"/>
        <v/>
      </c>
    </row>
    <row r="143" spans="2:11" x14ac:dyDescent="0.25">
      <c r="B143" s="9" t="e">
        <f t="shared" si="28"/>
        <v>#N/A</v>
      </c>
      <c r="C143" s="10" t="e">
        <f t="shared" si="25"/>
        <v>#N/A</v>
      </c>
      <c r="D143" s="11" t="str">
        <f>IF(ISERROR(B143),"",bsolve($B143,$E$2,$E$4,$E$8,$E$9))</f>
        <v/>
      </c>
      <c r="E143" s="11" t="str">
        <f t="shared" si="26"/>
        <v/>
      </c>
      <c r="F143" s="11" t="str">
        <f t="shared" si="20"/>
        <v/>
      </c>
      <c r="G143" s="11" t="str">
        <f t="shared" si="27"/>
        <v/>
      </c>
      <c r="H143" s="19" t="str">
        <f t="shared" si="18"/>
        <v/>
      </c>
      <c r="I143" s="21">
        <f t="shared" si="21"/>
        <v>0</v>
      </c>
      <c r="J143" s="21" t="e">
        <f t="shared" si="19"/>
        <v>#N/A</v>
      </c>
      <c r="K143" s="21" t="str">
        <f t="shared" si="22"/>
        <v/>
      </c>
    </row>
    <row r="144" spans="2:11" x14ac:dyDescent="0.25">
      <c r="B144" s="9" t="e">
        <f t="shared" si="28"/>
        <v>#N/A</v>
      </c>
      <c r="C144" s="10" t="e">
        <f t="shared" si="25"/>
        <v>#N/A</v>
      </c>
      <c r="D144" s="11" t="str">
        <f>IF(ISERROR(B144),"",bsolve($B144,$E$2,$E$4,$E$8,$E$9))</f>
        <v/>
      </c>
      <c r="E144" s="11" t="str">
        <f t="shared" si="26"/>
        <v/>
      </c>
      <c r="F144" s="11" t="str">
        <f t="shared" si="20"/>
        <v/>
      </c>
      <c r="G144" s="11" t="str">
        <f t="shared" si="27"/>
        <v/>
      </c>
      <c r="H144" s="19" t="str">
        <f t="shared" si="18"/>
        <v/>
      </c>
      <c r="I144" s="21">
        <f t="shared" si="21"/>
        <v>0</v>
      </c>
      <c r="J144" s="21" t="e">
        <f t="shared" si="19"/>
        <v>#N/A</v>
      </c>
      <c r="K144" s="21" t="str">
        <f t="shared" si="22"/>
        <v/>
      </c>
    </row>
    <row r="145" spans="2:11" x14ac:dyDescent="0.25">
      <c r="B145" s="9" t="e">
        <f t="shared" si="28"/>
        <v>#N/A</v>
      </c>
      <c r="C145" s="10" t="e">
        <f t="shared" si="25"/>
        <v>#N/A</v>
      </c>
      <c r="D145" s="11" t="str">
        <f>IF(ISERROR(B145),"",bsolve($B145,$E$2,$E$4,$E$8,$E$9))</f>
        <v/>
      </c>
      <c r="E145" s="11" t="str">
        <f t="shared" si="26"/>
        <v/>
      </c>
      <c r="F145" s="11" t="str">
        <f t="shared" si="20"/>
        <v/>
      </c>
      <c r="G145" s="11" t="str">
        <f t="shared" si="27"/>
        <v/>
      </c>
      <c r="H145" s="19" t="str">
        <f t="shared" si="18"/>
        <v/>
      </c>
      <c r="I145" s="21">
        <f t="shared" si="21"/>
        <v>0</v>
      </c>
      <c r="J145" s="21" t="e">
        <f t="shared" si="19"/>
        <v>#N/A</v>
      </c>
      <c r="K145" s="21" t="str">
        <f t="shared" si="22"/>
        <v/>
      </c>
    </row>
    <row r="146" spans="2:11" x14ac:dyDescent="0.25">
      <c r="B146" s="9" t="e">
        <f t="shared" si="28"/>
        <v>#N/A</v>
      </c>
      <c r="C146" s="10" t="e">
        <f t="shared" ref="C146:C209" si="29">IF(B146="","",100*B146/$E$2)</f>
        <v>#N/A</v>
      </c>
      <c r="D146" s="11" t="str">
        <f>IF(ISERROR(B146),"",bsolve($B146,$E$2,$E$4,$E$8,$E$9))</f>
        <v/>
      </c>
      <c r="E146" s="11" t="str">
        <f t="shared" ref="E146:E209" si="30">IF(ISERROR(B146),"",IF(AND($E$7&lt;$E$5,C146&gt;=($E$5*100)),D146,0))</f>
        <v/>
      </c>
      <c r="F146" s="11" t="str">
        <f t="shared" si="20"/>
        <v/>
      </c>
      <c r="G146" s="11" t="str">
        <f t="shared" si="27"/>
        <v/>
      </c>
      <c r="H146" s="19" t="str">
        <f t="shared" ref="H146:H209" si="31">IF(ISERROR(B146),"",100*((B146*(1-$E$9))+($E$2-B146)*$E$8)/$E$2)</f>
        <v/>
      </c>
      <c r="I146" s="21">
        <f t="shared" si="21"/>
        <v>0</v>
      </c>
      <c r="J146" s="21" t="e">
        <f t="shared" ref="J146:J209" si="32">IF(ISERROR(B146),NA(),IF(AND(H146&gt;=$E$5*100,B146/$E$2&lt;$E$5),H146,NA()))</f>
        <v>#N/A</v>
      </c>
      <c r="K146" s="21" t="str">
        <f t="shared" si="22"/>
        <v/>
      </c>
    </row>
    <row r="147" spans="2:11" x14ac:dyDescent="0.25">
      <c r="B147" s="9" t="e">
        <f t="shared" si="28"/>
        <v>#N/A</v>
      </c>
      <c r="C147" s="10" t="e">
        <f t="shared" si="29"/>
        <v>#N/A</v>
      </c>
      <c r="D147" s="11" t="str">
        <f>IF(ISERROR(B147),"",bsolve($B147,$E$2,$E$4,$E$8,$E$9))</f>
        <v/>
      </c>
      <c r="E147" s="11" t="str">
        <f t="shared" si="30"/>
        <v/>
      </c>
      <c r="F147" s="11" t="str">
        <f t="shared" ref="F147:F210" si="33">IF(ISERROR(B147),"",IF(AND($E$7&gt;=$E$5,C147&lt;($E$5*100)),D147,0))</f>
        <v/>
      </c>
      <c r="G147" s="11" t="str">
        <f t="shared" ref="G147:G210" si="34">IF(ISERROR(B147),"",IF(C147&gt;=$E$5*100,D147,""))</f>
        <v/>
      </c>
      <c r="H147" s="19" t="str">
        <f t="shared" si="31"/>
        <v/>
      </c>
      <c r="I147" s="21">
        <f t="shared" ref="I147:I210" si="35">IF(NOT(ISERROR(J147)),B147,0)</f>
        <v>0</v>
      </c>
      <c r="J147" s="21" t="e">
        <f t="shared" si="32"/>
        <v>#N/A</v>
      </c>
      <c r="K147" s="21" t="str">
        <f t="shared" ref="K147:K210" si="36">IF(AND(I147=0,I148&gt;0),B147,"")</f>
        <v/>
      </c>
    </row>
    <row r="148" spans="2:11" x14ac:dyDescent="0.25">
      <c r="B148" s="9" t="e">
        <f t="shared" ref="B148:B211" si="37">IF(ROW()-18&lt;=$E$2,B147+1,NA())</f>
        <v>#N/A</v>
      </c>
      <c r="C148" s="10" t="e">
        <f t="shared" si="29"/>
        <v>#N/A</v>
      </c>
      <c r="D148" s="11" t="str">
        <f>IF(ISERROR(B148),"",bsolve($B148,$E$2,$E$4,$E$8,$E$9))</f>
        <v/>
      </c>
      <c r="E148" s="11" t="str">
        <f t="shared" si="30"/>
        <v/>
      </c>
      <c r="F148" s="11" t="str">
        <f t="shared" si="33"/>
        <v/>
      </c>
      <c r="G148" s="11" t="str">
        <f t="shared" si="34"/>
        <v/>
      </c>
      <c r="H148" s="19" t="str">
        <f t="shared" si="31"/>
        <v/>
      </c>
      <c r="I148" s="21">
        <f t="shared" si="35"/>
        <v>0</v>
      </c>
      <c r="J148" s="21" t="e">
        <f t="shared" si="32"/>
        <v>#N/A</v>
      </c>
      <c r="K148" s="21" t="str">
        <f t="shared" si="36"/>
        <v/>
      </c>
    </row>
    <row r="149" spans="2:11" x14ac:dyDescent="0.25">
      <c r="B149" s="9" t="e">
        <f t="shared" si="37"/>
        <v>#N/A</v>
      </c>
      <c r="C149" s="10" t="e">
        <f t="shared" si="29"/>
        <v>#N/A</v>
      </c>
      <c r="D149" s="11" t="str">
        <f>IF(ISERROR(B149),"",bsolve($B149,$E$2,$E$4,$E$8,$E$9))</f>
        <v/>
      </c>
      <c r="E149" s="11" t="str">
        <f t="shared" si="30"/>
        <v/>
      </c>
      <c r="F149" s="11" t="str">
        <f t="shared" si="33"/>
        <v/>
      </c>
      <c r="G149" s="11" t="str">
        <f t="shared" si="34"/>
        <v/>
      </c>
      <c r="H149" s="19" t="str">
        <f t="shared" si="31"/>
        <v/>
      </c>
      <c r="I149" s="21">
        <f t="shared" si="35"/>
        <v>0</v>
      </c>
      <c r="J149" s="21" t="e">
        <f t="shared" si="32"/>
        <v>#N/A</v>
      </c>
      <c r="K149" s="21" t="str">
        <f t="shared" si="36"/>
        <v/>
      </c>
    </row>
    <row r="150" spans="2:11" x14ac:dyDescent="0.25">
      <c r="B150" s="9" t="e">
        <f t="shared" si="37"/>
        <v>#N/A</v>
      </c>
      <c r="C150" s="10" t="e">
        <f t="shared" si="29"/>
        <v>#N/A</v>
      </c>
      <c r="D150" s="11" t="str">
        <f>IF(ISERROR(B150),"",bsolve($B150,$E$2,$E$4,$E$8,$E$9))</f>
        <v/>
      </c>
      <c r="E150" s="11" t="str">
        <f t="shared" si="30"/>
        <v/>
      </c>
      <c r="F150" s="11" t="str">
        <f t="shared" si="33"/>
        <v/>
      </c>
      <c r="G150" s="11" t="str">
        <f t="shared" si="34"/>
        <v/>
      </c>
      <c r="H150" s="19" t="str">
        <f t="shared" si="31"/>
        <v/>
      </c>
      <c r="I150" s="21">
        <f t="shared" si="35"/>
        <v>0</v>
      </c>
      <c r="J150" s="21" t="e">
        <f t="shared" si="32"/>
        <v>#N/A</v>
      </c>
      <c r="K150" s="21" t="str">
        <f t="shared" si="36"/>
        <v/>
      </c>
    </row>
    <row r="151" spans="2:11" x14ac:dyDescent="0.25">
      <c r="B151" s="9" t="e">
        <f t="shared" si="37"/>
        <v>#N/A</v>
      </c>
      <c r="C151" s="10" t="e">
        <f t="shared" si="29"/>
        <v>#N/A</v>
      </c>
      <c r="D151" s="11" t="str">
        <f>IF(ISERROR(B151),"",bsolve($B151,$E$2,$E$4,$E$8,$E$9))</f>
        <v/>
      </c>
      <c r="E151" s="11" t="str">
        <f t="shared" si="30"/>
        <v/>
      </c>
      <c r="F151" s="11" t="str">
        <f t="shared" si="33"/>
        <v/>
      </c>
      <c r="G151" s="11" t="str">
        <f t="shared" si="34"/>
        <v/>
      </c>
      <c r="H151" s="19" t="str">
        <f t="shared" si="31"/>
        <v/>
      </c>
      <c r="I151" s="21">
        <f t="shared" si="35"/>
        <v>0</v>
      </c>
      <c r="J151" s="21" t="e">
        <f t="shared" si="32"/>
        <v>#N/A</v>
      </c>
      <c r="K151" s="21" t="str">
        <f t="shared" si="36"/>
        <v/>
      </c>
    </row>
    <row r="152" spans="2:11" x14ac:dyDescent="0.25">
      <c r="B152" s="9" t="e">
        <f t="shared" si="37"/>
        <v>#N/A</v>
      </c>
      <c r="C152" s="10" t="e">
        <f t="shared" si="29"/>
        <v>#N/A</v>
      </c>
      <c r="D152" s="11" t="str">
        <f>IF(ISERROR(B152),"",bsolve($B152,$E$2,$E$4,$E$8,$E$9))</f>
        <v/>
      </c>
      <c r="E152" s="11" t="str">
        <f t="shared" si="30"/>
        <v/>
      </c>
      <c r="F152" s="11" t="str">
        <f t="shared" si="33"/>
        <v/>
      </c>
      <c r="G152" s="11" t="str">
        <f t="shared" si="34"/>
        <v/>
      </c>
      <c r="H152" s="19" t="str">
        <f t="shared" si="31"/>
        <v/>
      </c>
      <c r="I152" s="21">
        <f t="shared" si="35"/>
        <v>0</v>
      </c>
      <c r="J152" s="21" t="e">
        <f t="shared" si="32"/>
        <v>#N/A</v>
      </c>
      <c r="K152" s="21" t="str">
        <f t="shared" si="36"/>
        <v/>
      </c>
    </row>
    <row r="153" spans="2:11" x14ac:dyDescent="0.25">
      <c r="B153" s="9" t="e">
        <f t="shared" si="37"/>
        <v>#N/A</v>
      </c>
      <c r="C153" s="10" t="e">
        <f t="shared" si="29"/>
        <v>#N/A</v>
      </c>
      <c r="D153" s="11" t="str">
        <f>IF(ISERROR(B153),"",bsolve($B153,$E$2,$E$4,$E$8,$E$9))</f>
        <v/>
      </c>
      <c r="E153" s="11" t="str">
        <f t="shared" si="30"/>
        <v/>
      </c>
      <c r="F153" s="11" t="str">
        <f t="shared" si="33"/>
        <v/>
      </c>
      <c r="G153" s="11" t="str">
        <f t="shared" si="34"/>
        <v/>
      </c>
      <c r="H153" s="19" t="str">
        <f t="shared" si="31"/>
        <v/>
      </c>
      <c r="I153" s="21">
        <f t="shared" si="35"/>
        <v>0</v>
      </c>
      <c r="J153" s="21" t="e">
        <f t="shared" si="32"/>
        <v>#N/A</v>
      </c>
      <c r="K153" s="21" t="str">
        <f t="shared" si="36"/>
        <v/>
      </c>
    </row>
    <row r="154" spans="2:11" x14ac:dyDescent="0.25">
      <c r="B154" s="9" t="e">
        <f t="shared" si="37"/>
        <v>#N/A</v>
      </c>
      <c r="C154" s="10" t="e">
        <f t="shared" si="29"/>
        <v>#N/A</v>
      </c>
      <c r="D154" s="11" t="str">
        <f>IF(ISERROR(B154),"",bsolve($B154,$E$2,$E$4,$E$8,$E$9))</f>
        <v/>
      </c>
      <c r="E154" s="11" t="str">
        <f t="shared" si="30"/>
        <v/>
      </c>
      <c r="F154" s="11" t="str">
        <f t="shared" si="33"/>
        <v/>
      </c>
      <c r="G154" s="11" t="str">
        <f t="shared" si="34"/>
        <v/>
      </c>
      <c r="H154" s="19" t="str">
        <f t="shared" si="31"/>
        <v/>
      </c>
      <c r="I154" s="21">
        <f t="shared" si="35"/>
        <v>0</v>
      </c>
      <c r="J154" s="21" t="e">
        <f t="shared" si="32"/>
        <v>#N/A</v>
      </c>
      <c r="K154" s="21" t="str">
        <f t="shared" si="36"/>
        <v/>
      </c>
    </row>
    <row r="155" spans="2:11" x14ac:dyDescent="0.25">
      <c r="B155" s="9" t="e">
        <f t="shared" si="37"/>
        <v>#N/A</v>
      </c>
      <c r="C155" s="10" t="e">
        <f t="shared" si="29"/>
        <v>#N/A</v>
      </c>
      <c r="D155" s="11" t="str">
        <f>IF(ISERROR(B155),"",bsolve($B155,$E$2,$E$4,$E$8,$E$9))</f>
        <v/>
      </c>
      <c r="E155" s="11" t="str">
        <f t="shared" si="30"/>
        <v/>
      </c>
      <c r="F155" s="11" t="str">
        <f t="shared" si="33"/>
        <v/>
      </c>
      <c r="G155" s="11" t="str">
        <f t="shared" si="34"/>
        <v/>
      </c>
      <c r="H155" s="19" t="str">
        <f t="shared" si="31"/>
        <v/>
      </c>
      <c r="I155" s="21">
        <f t="shared" si="35"/>
        <v>0</v>
      </c>
      <c r="J155" s="21" t="e">
        <f t="shared" si="32"/>
        <v>#N/A</v>
      </c>
      <c r="K155" s="21" t="str">
        <f t="shared" si="36"/>
        <v/>
      </c>
    </row>
    <row r="156" spans="2:11" x14ac:dyDescent="0.25">
      <c r="B156" s="9" t="e">
        <f t="shared" si="37"/>
        <v>#N/A</v>
      </c>
      <c r="C156" s="10" t="e">
        <f t="shared" si="29"/>
        <v>#N/A</v>
      </c>
      <c r="D156" s="11" t="str">
        <f>IF(ISERROR(B156),"",bsolve($B156,$E$2,$E$4,$E$8,$E$9))</f>
        <v/>
      </c>
      <c r="E156" s="11" t="str">
        <f t="shared" si="30"/>
        <v/>
      </c>
      <c r="F156" s="11" t="str">
        <f t="shared" si="33"/>
        <v/>
      </c>
      <c r="G156" s="11" t="str">
        <f t="shared" si="34"/>
        <v/>
      </c>
      <c r="H156" s="19" t="str">
        <f t="shared" si="31"/>
        <v/>
      </c>
      <c r="I156" s="21">
        <f t="shared" si="35"/>
        <v>0</v>
      </c>
      <c r="J156" s="21" t="e">
        <f t="shared" si="32"/>
        <v>#N/A</v>
      </c>
      <c r="K156" s="21" t="str">
        <f t="shared" si="36"/>
        <v/>
      </c>
    </row>
    <row r="157" spans="2:11" x14ac:dyDescent="0.25">
      <c r="B157" s="9" t="e">
        <f t="shared" si="37"/>
        <v>#N/A</v>
      </c>
      <c r="C157" s="10" t="e">
        <f t="shared" si="29"/>
        <v>#N/A</v>
      </c>
      <c r="D157" s="11" t="str">
        <f>IF(ISERROR(B157),"",bsolve($B157,$E$2,$E$4,$E$8,$E$9))</f>
        <v/>
      </c>
      <c r="E157" s="11" t="str">
        <f t="shared" si="30"/>
        <v/>
      </c>
      <c r="F157" s="11" t="str">
        <f t="shared" si="33"/>
        <v/>
      </c>
      <c r="G157" s="11" t="str">
        <f t="shared" si="34"/>
        <v/>
      </c>
      <c r="H157" s="19" t="str">
        <f t="shared" si="31"/>
        <v/>
      </c>
      <c r="I157" s="21">
        <f t="shared" si="35"/>
        <v>0</v>
      </c>
      <c r="J157" s="21" t="e">
        <f t="shared" si="32"/>
        <v>#N/A</v>
      </c>
      <c r="K157" s="21" t="str">
        <f t="shared" si="36"/>
        <v/>
      </c>
    </row>
    <row r="158" spans="2:11" x14ac:dyDescent="0.25">
      <c r="B158" s="9" t="e">
        <f t="shared" si="37"/>
        <v>#N/A</v>
      </c>
      <c r="C158" s="10" t="e">
        <f t="shared" si="29"/>
        <v>#N/A</v>
      </c>
      <c r="D158" s="11" t="str">
        <f>IF(ISERROR(B158),"",bsolve($B158,$E$2,$E$4,$E$8,$E$9))</f>
        <v/>
      </c>
      <c r="E158" s="11" t="str">
        <f t="shared" si="30"/>
        <v/>
      </c>
      <c r="F158" s="11" t="str">
        <f t="shared" si="33"/>
        <v/>
      </c>
      <c r="G158" s="11" t="str">
        <f t="shared" si="34"/>
        <v/>
      </c>
      <c r="H158" s="19" t="str">
        <f t="shared" si="31"/>
        <v/>
      </c>
      <c r="I158" s="21">
        <f t="shared" si="35"/>
        <v>0</v>
      </c>
      <c r="J158" s="21" t="e">
        <f t="shared" si="32"/>
        <v>#N/A</v>
      </c>
      <c r="K158" s="21" t="str">
        <f t="shared" si="36"/>
        <v/>
      </c>
    </row>
    <row r="159" spans="2:11" x14ac:dyDescent="0.25">
      <c r="B159" s="9" t="e">
        <f t="shared" si="37"/>
        <v>#N/A</v>
      </c>
      <c r="C159" s="10" t="e">
        <f t="shared" si="29"/>
        <v>#N/A</v>
      </c>
      <c r="D159" s="11" t="str">
        <f>IF(ISERROR(B159),"",bsolve($B159,$E$2,$E$4,$E$8,$E$9))</f>
        <v/>
      </c>
      <c r="E159" s="11" t="str">
        <f t="shared" si="30"/>
        <v/>
      </c>
      <c r="F159" s="11" t="str">
        <f t="shared" si="33"/>
        <v/>
      </c>
      <c r="G159" s="11" t="str">
        <f t="shared" si="34"/>
        <v/>
      </c>
      <c r="H159" s="19" t="str">
        <f t="shared" si="31"/>
        <v/>
      </c>
      <c r="I159" s="21">
        <f t="shared" si="35"/>
        <v>0</v>
      </c>
      <c r="J159" s="21" t="e">
        <f t="shared" si="32"/>
        <v>#N/A</v>
      </c>
      <c r="K159" s="21" t="str">
        <f t="shared" si="36"/>
        <v/>
      </c>
    </row>
    <row r="160" spans="2:11" x14ac:dyDescent="0.25">
      <c r="B160" s="9" t="e">
        <f t="shared" si="37"/>
        <v>#N/A</v>
      </c>
      <c r="C160" s="10" t="e">
        <f t="shared" si="29"/>
        <v>#N/A</v>
      </c>
      <c r="D160" s="11" t="str">
        <f>IF(ISERROR(B160),"",bsolve($B160,$E$2,$E$4,$E$8,$E$9))</f>
        <v/>
      </c>
      <c r="E160" s="11" t="str">
        <f t="shared" si="30"/>
        <v/>
      </c>
      <c r="F160" s="11" t="str">
        <f t="shared" si="33"/>
        <v/>
      </c>
      <c r="G160" s="11" t="str">
        <f t="shared" si="34"/>
        <v/>
      </c>
      <c r="H160" s="19" t="str">
        <f t="shared" si="31"/>
        <v/>
      </c>
      <c r="I160" s="21">
        <f t="shared" si="35"/>
        <v>0</v>
      </c>
      <c r="J160" s="21" t="e">
        <f t="shared" si="32"/>
        <v>#N/A</v>
      </c>
      <c r="K160" s="21" t="str">
        <f t="shared" si="36"/>
        <v/>
      </c>
    </row>
    <row r="161" spans="2:11" x14ac:dyDescent="0.25">
      <c r="B161" s="9" t="e">
        <f t="shared" si="37"/>
        <v>#N/A</v>
      </c>
      <c r="C161" s="10" t="e">
        <f t="shared" si="29"/>
        <v>#N/A</v>
      </c>
      <c r="D161" s="11" t="str">
        <f>IF(ISERROR(B161),"",bsolve($B161,$E$2,$E$4,$E$8,$E$9))</f>
        <v/>
      </c>
      <c r="E161" s="11" t="str">
        <f t="shared" si="30"/>
        <v/>
      </c>
      <c r="F161" s="11" t="str">
        <f t="shared" si="33"/>
        <v/>
      </c>
      <c r="G161" s="11" t="str">
        <f t="shared" si="34"/>
        <v/>
      </c>
      <c r="H161" s="19" t="str">
        <f t="shared" si="31"/>
        <v/>
      </c>
      <c r="I161" s="21">
        <f t="shared" si="35"/>
        <v>0</v>
      </c>
      <c r="J161" s="21" t="e">
        <f t="shared" si="32"/>
        <v>#N/A</v>
      </c>
      <c r="K161" s="21" t="str">
        <f t="shared" si="36"/>
        <v/>
      </c>
    </row>
    <row r="162" spans="2:11" x14ac:dyDescent="0.25">
      <c r="B162" s="9" t="e">
        <f t="shared" si="37"/>
        <v>#N/A</v>
      </c>
      <c r="C162" s="10" t="e">
        <f t="shared" si="29"/>
        <v>#N/A</v>
      </c>
      <c r="D162" s="11" t="str">
        <f>IF(ISERROR(B162),"",bsolve($B162,$E$2,$E$4,$E$8,$E$9))</f>
        <v/>
      </c>
      <c r="E162" s="11" t="str">
        <f t="shared" si="30"/>
        <v/>
      </c>
      <c r="F162" s="11" t="str">
        <f t="shared" si="33"/>
        <v/>
      </c>
      <c r="G162" s="11" t="str">
        <f t="shared" si="34"/>
        <v/>
      </c>
      <c r="H162" s="19" t="str">
        <f t="shared" si="31"/>
        <v/>
      </c>
      <c r="I162" s="21">
        <f t="shared" si="35"/>
        <v>0</v>
      </c>
      <c r="J162" s="21" t="e">
        <f t="shared" si="32"/>
        <v>#N/A</v>
      </c>
      <c r="K162" s="21" t="str">
        <f t="shared" si="36"/>
        <v/>
      </c>
    </row>
    <row r="163" spans="2:11" x14ac:dyDescent="0.25">
      <c r="B163" s="9" t="e">
        <f t="shared" si="37"/>
        <v>#N/A</v>
      </c>
      <c r="C163" s="10" t="e">
        <f t="shared" si="29"/>
        <v>#N/A</v>
      </c>
      <c r="D163" s="11" t="str">
        <f>IF(ISERROR(B163),"",bsolve($B163,$E$2,$E$4,$E$8,$E$9))</f>
        <v/>
      </c>
      <c r="E163" s="11" t="str">
        <f t="shared" si="30"/>
        <v/>
      </c>
      <c r="F163" s="11" t="str">
        <f t="shared" si="33"/>
        <v/>
      </c>
      <c r="G163" s="11" t="str">
        <f t="shared" si="34"/>
        <v/>
      </c>
      <c r="H163" s="19" t="str">
        <f t="shared" si="31"/>
        <v/>
      </c>
      <c r="I163" s="21">
        <f t="shared" si="35"/>
        <v>0</v>
      </c>
      <c r="J163" s="21" t="e">
        <f t="shared" si="32"/>
        <v>#N/A</v>
      </c>
      <c r="K163" s="21" t="str">
        <f t="shared" si="36"/>
        <v/>
      </c>
    </row>
    <row r="164" spans="2:11" x14ac:dyDescent="0.25">
      <c r="B164" s="9" t="e">
        <f t="shared" si="37"/>
        <v>#N/A</v>
      </c>
      <c r="C164" s="10" t="e">
        <f t="shared" si="29"/>
        <v>#N/A</v>
      </c>
      <c r="D164" s="11" t="str">
        <f>IF(ISERROR(B164),"",bsolve($B164,$E$2,$E$4,$E$8,$E$9))</f>
        <v/>
      </c>
      <c r="E164" s="11" t="str">
        <f t="shared" si="30"/>
        <v/>
      </c>
      <c r="F164" s="11" t="str">
        <f t="shared" si="33"/>
        <v/>
      </c>
      <c r="G164" s="11" t="str">
        <f t="shared" si="34"/>
        <v/>
      </c>
      <c r="H164" s="19" t="str">
        <f t="shared" si="31"/>
        <v/>
      </c>
      <c r="I164" s="21">
        <f t="shared" si="35"/>
        <v>0</v>
      </c>
      <c r="J164" s="21" t="e">
        <f t="shared" si="32"/>
        <v>#N/A</v>
      </c>
      <c r="K164" s="21" t="str">
        <f t="shared" si="36"/>
        <v/>
      </c>
    </row>
    <row r="165" spans="2:11" x14ac:dyDescent="0.25">
      <c r="B165" s="9" t="e">
        <f t="shared" si="37"/>
        <v>#N/A</v>
      </c>
      <c r="C165" s="10" t="e">
        <f t="shared" si="29"/>
        <v>#N/A</v>
      </c>
      <c r="D165" s="11" t="str">
        <f>IF(ISERROR(B165),"",bsolve($B165,$E$2,$E$4,$E$8,$E$9))</f>
        <v/>
      </c>
      <c r="E165" s="11" t="str">
        <f t="shared" si="30"/>
        <v/>
      </c>
      <c r="F165" s="11" t="str">
        <f t="shared" si="33"/>
        <v/>
      </c>
      <c r="G165" s="11" t="str">
        <f t="shared" si="34"/>
        <v/>
      </c>
      <c r="H165" s="19" t="str">
        <f t="shared" si="31"/>
        <v/>
      </c>
      <c r="I165" s="21">
        <f t="shared" si="35"/>
        <v>0</v>
      </c>
      <c r="J165" s="21" t="e">
        <f t="shared" si="32"/>
        <v>#N/A</v>
      </c>
      <c r="K165" s="21" t="str">
        <f t="shared" si="36"/>
        <v/>
      </c>
    </row>
    <row r="166" spans="2:11" x14ac:dyDescent="0.25">
      <c r="B166" s="9" t="e">
        <f t="shared" si="37"/>
        <v>#N/A</v>
      </c>
      <c r="C166" s="10" t="e">
        <f t="shared" si="29"/>
        <v>#N/A</v>
      </c>
      <c r="D166" s="11" t="str">
        <f>IF(ISERROR(B166),"",bsolve($B166,$E$2,$E$4,$E$8,$E$9))</f>
        <v/>
      </c>
      <c r="E166" s="11" t="str">
        <f t="shared" si="30"/>
        <v/>
      </c>
      <c r="F166" s="11" t="str">
        <f t="shared" si="33"/>
        <v/>
      </c>
      <c r="G166" s="11" t="str">
        <f t="shared" si="34"/>
        <v/>
      </c>
      <c r="H166" s="19" t="str">
        <f t="shared" si="31"/>
        <v/>
      </c>
      <c r="I166" s="21">
        <f t="shared" si="35"/>
        <v>0</v>
      </c>
      <c r="J166" s="21" t="e">
        <f t="shared" si="32"/>
        <v>#N/A</v>
      </c>
      <c r="K166" s="21" t="str">
        <f t="shared" si="36"/>
        <v/>
      </c>
    </row>
    <row r="167" spans="2:11" x14ac:dyDescent="0.25">
      <c r="B167" s="9" t="e">
        <f t="shared" si="37"/>
        <v>#N/A</v>
      </c>
      <c r="C167" s="10" t="e">
        <f t="shared" si="29"/>
        <v>#N/A</v>
      </c>
      <c r="D167" s="11" t="str">
        <f>IF(ISERROR(B167),"",bsolve($B167,$E$2,$E$4,$E$8,$E$9))</f>
        <v/>
      </c>
      <c r="E167" s="11" t="str">
        <f t="shared" si="30"/>
        <v/>
      </c>
      <c r="F167" s="11" t="str">
        <f t="shared" si="33"/>
        <v/>
      </c>
      <c r="G167" s="11" t="str">
        <f t="shared" si="34"/>
        <v/>
      </c>
      <c r="H167" s="19" t="str">
        <f t="shared" si="31"/>
        <v/>
      </c>
      <c r="I167" s="21">
        <f t="shared" si="35"/>
        <v>0</v>
      </c>
      <c r="J167" s="21" t="e">
        <f t="shared" si="32"/>
        <v>#N/A</v>
      </c>
      <c r="K167" s="21" t="str">
        <f t="shared" si="36"/>
        <v/>
      </c>
    </row>
    <row r="168" spans="2:11" x14ac:dyDescent="0.25">
      <c r="B168" s="9" t="e">
        <f t="shared" si="37"/>
        <v>#N/A</v>
      </c>
      <c r="C168" s="10" t="e">
        <f t="shared" si="29"/>
        <v>#N/A</v>
      </c>
      <c r="D168" s="11" t="str">
        <f>IF(ISERROR(B168),"",bsolve($B168,$E$2,$E$4,$E$8,$E$9))</f>
        <v/>
      </c>
      <c r="E168" s="11" t="str">
        <f t="shared" si="30"/>
        <v/>
      </c>
      <c r="F168" s="11" t="str">
        <f t="shared" si="33"/>
        <v/>
      </c>
      <c r="G168" s="11" t="str">
        <f t="shared" si="34"/>
        <v/>
      </c>
      <c r="H168" s="19" t="str">
        <f t="shared" si="31"/>
        <v/>
      </c>
      <c r="I168" s="21">
        <f t="shared" si="35"/>
        <v>0</v>
      </c>
      <c r="J168" s="21" t="e">
        <f t="shared" si="32"/>
        <v>#N/A</v>
      </c>
      <c r="K168" s="21" t="str">
        <f t="shared" si="36"/>
        <v/>
      </c>
    </row>
    <row r="169" spans="2:11" x14ac:dyDescent="0.25">
      <c r="B169" s="9" t="e">
        <f t="shared" si="37"/>
        <v>#N/A</v>
      </c>
      <c r="C169" s="10" t="e">
        <f t="shared" si="29"/>
        <v>#N/A</v>
      </c>
      <c r="D169" s="11" t="str">
        <f>IF(ISERROR(B169),"",bsolve($B169,$E$2,$E$4,$E$8,$E$9))</f>
        <v/>
      </c>
      <c r="E169" s="11" t="str">
        <f t="shared" si="30"/>
        <v/>
      </c>
      <c r="F169" s="11" t="str">
        <f t="shared" si="33"/>
        <v/>
      </c>
      <c r="G169" s="11" t="str">
        <f t="shared" si="34"/>
        <v/>
      </c>
      <c r="H169" s="19" t="str">
        <f t="shared" si="31"/>
        <v/>
      </c>
      <c r="I169" s="21">
        <f t="shared" si="35"/>
        <v>0</v>
      </c>
      <c r="J169" s="21" t="e">
        <f t="shared" si="32"/>
        <v>#N/A</v>
      </c>
      <c r="K169" s="21" t="str">
        <f t="shared" si="36"/>
        <v/>
      </c>
    </row>
    <row r="170" spans="2:11" x14ac:dyDescent="0.25">
      <c r="B170" s="9" t="e">
        <f t="shared" si="37"/>
        <v>#N/A</v>
      </c>
      <c r="C170" s="10" t="e">
        <f t="shared" si="29"/>
        <v>#N/A</v>
      </c>
      <c r="D170" s="11" t="str">
        <f>IF(ISERROR(B170),"",bsolve($B170,$E$2,$E$4,$E$8,$E$9))</f>
        <v/>
      </c>
      <c r="E170" s="11" t="str">
        <f t="shared" si="30"/>
        <v/>
      </c>
      <c r="F170" s="11" t="str">
        <f t="shared" si="33"/>
        <v/>
      </c>
      <c r="G170" s="11" t="str">
        <f t="shared" si="34"/>
        <v/>
      </c>
      <c r="H170" s="19" t="str">
        <f t="shared" si="31"/>
        <v/>
      </c>
      <c r="I170" s="21">
        <f t="shared" si="35"/>
        <v>0</v>
      </c>
      <c r="J170" s="21" t="e">
        <f t="shared" si="32"/>
        <v>#N/A</v>
      </c>
      <c r="K170" s="21" t="str">
        <f t="shared" si="36"/>
        <v/>
      </c>
    </row>
    <row r="171" spans="2:11" x14ac:dyDescent="0.25">
      <c r="B171" s="9" t="e">
        <f t="shared" si="37"/>
        <v>#N/A</v>
      </c>
      <c r="C171" s="10" t="e">
        <f t="shared" si="29"/>
        <v>#N/A</v>
      </c>
      <c r="D171" s="11" t="str">
        <f>IF(ISERROR(B171),"",bsolve($B171,$E$2,$E$4,$E$8,$E$9))</f>
        <v/>
      </c>
      <c r="E171" s="11" t="str">
        <f t="shared" si="30"/>
        <v/>
      </c>
      <c r="F171" s="11" t="str">
        <f t="shared" si="33"/>
        <v/>
      </c>
      <c r="G171" s="11" t="str">
        <f t="shared" si="34"/>
        <v/>
      </c>
      <c r="H171" s="19" t="str">
        <f t="shared" si="31"/>
        <v/>
      </c>
      <c r="I171" s="21">
        <f t="shared" si="35"/>
        <v>0</v>
      </c>
      <c r="J171" s="21" t="e">
        <f t="shared" si="32"/>
        <v>#N/A</v>
      </c>
      <c r="K171" s="21" t="str">
        <f t="shared" si="36"/>
        <v/>
      </c>
    </row>
    <row r="172" spans="2:11" x14ac:dyDescent="0.25">
      <c r="B172" s="9" t="e">
        <f t="shared" si="37"/>
        <v>#N/A</v>
      </c>
      <c r="C172" s="10" t="e">
        <f t="shared" si="29"/>
        <v>#N/A</v>
      </c>
      <c r="D172" s="11" t="str">
        <f>IF(ISERROR(B172),"",bsolve($B172,$E$2,$E$4,$E$8,$E$9))</f>
        <v/>
      </c>
      <c r="E172" s="11" t="str">
        <f t="shared" si="30"/>
        <v/>
      </c>
      <c r="F172" s="11" t="str">
        <f t="shared" si="33"/>
        <v/>
      </c>
      <c r="G172" s="11" t="str">
        <f t="shared" si="34"/>
        <v/>
      </c>
      <c r="H172" s="19" t="str">
        <f t="shared" si="31"/>
        <v/>
      </c>
      <c r="I172" s="21">
        <f t="shared" si="35"/>
        <v>0</v>
      </c>
      <c r="J172" s="21" t="e">
        <f t="shared" si="32"/>
        <v>#N/A</v>
      </c>
      <c r="K172" s="21" t="str">
        <f t="shared" si="36"/>
        <v/>
      </c>
    </row>
    <row r="173" spans="2:11" x14ac:dyDescent="0.25">
      <c r="B173" s="9" t="e">
        <f t="shared" si="37"/>
        <v>#N/A</v>
      </c>
      <c r="C173" s="10" t="e">
        <f t="shared" si="29"/>
        <v>#N/A</v>
      </c>
      <c r="D173" s="11" t="str">
        <f>IF(ISERROR(B173),"",bsolve($B173,$E$2,$E$4,$E$8,$E$9))</f>
        <v/>
      </c>
      <c r="E173" s="11" t="str">
        <f t="shared" si="30"/>
        <v/>
      </c>
      <c r="F173" s="11" t="str">
        <f t="shared" si="33"/>
        <v/>
      </c>
      <c r="G173" s="11" t="str">
        <f t="shared" si="34"/>
        <v/>
      </c>
      <c r="H173" s="19" t="str">
        <f t="shared" si="31"/>
        <v/>
      </c>
      <c r="I173" s="21">
        <f t="shared" si="35"/>
        <v>0</v>
      </c>
      <c r="J173" s="21" t="e">
        <f t="shared" si="32"/>
        <v>#N/A</v>
      </c>
      <c r="K173" s="21" t="str">
        <f t="shared" si="36"/>
        <v/>
      </c>
    </row>
    <row r="174" spans="2:11" x14ac:dyDescent="0.25">
      <c r="B174" s="9" t="e">
        <f t="shared" si="37"/>
        <v>#N/A</v>
      </c>
      <c r="C174" s="10" t="e">
        <f t="shared" si="29"/>
        <v>#N/A</v>
      </c>
      <c r="D174" s="11" t="str">
        <f>IF(ISERROR(B174),"",bsolve($B174,$E$2,$E$4,$E$8,$E$9))</f>
        <v/>
      </c>
      <c r="E174" s="11" t="str">
        <f t="shared" si="30"/>
        <v/>
      </c>
      <c r="F174" s="11" t="str">
        <f t="shared" si="33"/>
        <v/>
      </c>
      <c r="G174" s="11" t="str">
        <f t="shared" si="34"/>
        <v/>
      </c>
      <c r="H174" s="19" t="str">
        <f t="shared" si="31"/>
        <v/>
      </c>
      <c r="I174" s="21">
        <f t="shared" si="35"/>
        <v>0</v>
      </c>
      <c r="J174" s="21" t="e">
        <f t="shared" si="32"/>
        <v>#N/A</v>
      </c>
      <c r="K174" s="21" t="str">
        <f t="shared" si="36"/>
        <v/>
      </c>
    </row>
    <row r="175" spans="2:11" x14ac:dyDescent="0.25">
      <c r="B175" s="9" t="e">
        <f t="shared" si="37"/>
        <v>#N/A</v>
      </c>
      <c r="C175" s="10" t="e">
        <f t="shared" si="29"/>
        <v>#N/A</v>
      </c>
      <c r="D175" s="11" t="str">
        <f>IF(ISERROR(B175),"",bsolve($B175,$E$2,$E$4,$E$8,$E$9))</f>
        <v/>
      </c>
      <c r="E175" s="11" t="str">
        <f t="shared" si="30"/>
        <v/>
      </c>
      <c r="F175" s="11" t="str">
        <f t="shared" si="33"/>
        <v/>
      </c>
      <c r="G175" s="11" t="str">
        <f t="shared" si="34"/>
        <v/>
      </c>
      <c r="H175" s="19" t="str">
        <f t="shared" si="31"/>
        <v/>
      </c>
      <c r="I175" s="21">
        <f t="shared" si="35"/>
        <v>0</v>
      </c>
      <c r="J175" s="21" t="e">
        <f t="shared" si="32"/>
        <v>#N/A</v>
      </c>
      <c r="K175" s="21" t="str">
        <f t="shared" si="36"/>
        <v/>
      </c>
    </row>
    <row r="176" spans="2:11" x14ac:dyDescent="0.25">
      <c r="B176" s="9" t="e">
        <f t="shared" si="37"/>
        <v>#N/A</v>
      </c>
      <c r="C176" s="10" t="e">
        <f t="shared" si="29"/>
        <v>#N/A</v>
      </c>
      <c r="D176" s="11" t="str">
        <f>IF(ISERROR(B176),"",bsolve($B176,$E$2,$E$4,$E$8,$E$9))</f>
        <v/>
      </c>
      <c r="E176" s="11" t="str">
        <f t="shared" si="30"/>
        <v/>
      </c>
      <c r="F176" s="11" t="str">
        <f t="shared" si="33"/>
        <v/>
      </c>
      <c r="G176" s="11" t="str">
        <f t="shared" si="34"/>
        <v/>
      </c>
      <c r="H176" s="19" t="str">
        <f t="shared" si="31"/>
        <v/>
      </c>
      <c r="I176" s="21">
        <f t="shared" si="35"/>
        <v>0</v>
      </c>
      <c r="J176" s="21" t="e">
        <f t="shared" si="32"/>
        <v>#N/A</v>
      </c>
      <c r="K176" s="21" t="str">
        <f t="shared" si="36"/>
        <v/>
      </c>
    </row>
    <row r="177" spans="2:11" x14ac:dyDescent="0.25">
      <c r="B177" s="9" t="e">
        <f t="shared" si="37"/>
        <v>#N/A</v>
      </c>
      <c r="C177" s="10" t="e">
        <f t="shared" si="29"/>
        <v>#N/A</v>
      </c>
      <c r="D177" s="11" t="str">
        <f>IF(ISERROR(B177),"",bsolve($B177,$E$2,$E$4,$E$8,$E$9))</f>
        <v/>
      </c>
      <c r="E177" s="11" t="str">
        <f t="shared" si="30"/>
        <v/>
      </c>
      <c r="F177" s="11" t="str">
        <f t="shared" si="33"/>
        <v/>
      </c>
      <c r="G177" s="11" t="str">
        <f t="shared" si="34"/>
        <v/>
      </c>
      <c r="H177" s="19" t="str">
        <f t="shared" si="31"/>
        <v/>
      </c>
      <c r="I177" s="21">
        <f t="shared" si="35"/>
        <v>0</v>
      </c>
      <c r="J177" s="21" t="e">
        <f t="shared" si="32"/>
        <v>#N/A</v>
      </c>
      <c r="K177" s="21" t="str">
        <f t="shared" si="36"/>
        <v/>
      </c>
    </row>
    <row r="178" spans="2:11" x14ac:dyDescent="0.25">
      <c r="B178" s="9" t="e">
        <f t="shared" si="37"/>
        <v>#N/A</v>
      </c>
      <c r="C178" s="10" t="e">
        <f t="shared" si="29"/>
        <v>#N/A</v>
      </c>
      <c r="D178" s="11" t="str">
        <f>IF(ISERROR(B178),"",bsolve($B178,$E$2,$E$4,$E$8,$E$9))</f>
        <v/>
      </c>
      <c r="E178" s="11" t="str">
        <f t="shared" si="30"/>
        <v/>
      </c>
      <c r="F178" s="11" t="str">
        <f t="shared" si="33"/>
        <v/>
      </c>
      <c r="G178" s="11" t="str">
        <f t="shared" si="34"/>
        <v/>
      </c>
      <c r="H178" s="19" t="str">
        <f t="shared" si="31"/>
        <v/>
      </c>
      <c r="I178" s="21">
        <f t="shared" si="35"/>
        <v>0</v>
      </c>
      <c r="J178" s="21" t="e">
        <f t="shared" si="32"/>
        <v>#N/A</v>
      </c>
      <c r="K178" s="21" t="str">
        <f t="shared" si="36"/>
        <v/>
      </c>
    </row>
    <row r="179" spans="2:11" x14ac:dyDescent="0.25">
      <c r="B179" s="9" t="e">
        <f t="shared" si="37"/>
        <v>#N/A</v>
      </c>
      <c r="C179" s="10" t="e">
        <f t="shared" si="29"/>
        <v>#N/A</v>
      </c>
      <c r="D179" s="11" t="str">
        <f>IF(ISERROR(B179),"",bsolve($B179,$E$2,$E$4,$E$8,$E$9))</f>
        <v/>
      </c>
      <c r="E179" s="11" t="str">
        <f t="shared" si="30"/>
        <v/>
      </c>
      <c r="F179" s="11" t="str">
        <f t="shared" si="33"/>
        <v/>
      </c>
      <c r="G179" s="11" t="str">
        <f t="shared" si="34"/>
        <v/>
      </c>
      <c r="H179" s="19" t="str">
        <f t="shared" si="31"/>
        <v/>
      </c>
      <c r="I179" s="21">
        <f t="shared" si="35"/>
        <v>0</v>
      </c>
      <c r="J179" s="21" t="e">
        <f t="shared" si="32"/>
        <v>#N/A</v>
      </c>
      <c r="K179" s="21" t="str">
        <f t="shared" si="36"/>
        <v/>
      </c>
    </row>
    <row r="180" spans="2:11" x14ac:dyDescent="0.25">
      <c r="B180" s="9" t="e">
        <f t="shared" si="37"/>
        <v>#N/A</v>
      </c>
      <c r="C180" s="10" t="e">
        <f t="shared" si="29"/>
        <v>#N/A</v>
      </c>
      <c r="D180" s="11" t="str">
        <f>IF(ISERROR(B180),"",bsolve($B180,$E$2,$E$4,$E$8,$E$9))</f>
        <v/>
      </c>
      <c r="E180" s="11" t="str">
        <f t="shared" si="30"/>
        <v/>
      </c>
      <c r="F180" s="11" t="str">
        <f t="shared" si="33"/>
        <v/>
      </c>
      <c r="G180" s="11" t="str">
        <f t="shared" si="34"/>
        <v/>
      </c>
      <c r="H180" s="19" t="str">
        <f t="shared" si="31"/>
        <v/>
      </c>
      <c r="I180" s="21">
        <f t="shared" si="35"/>
        <v>0</v>
      </c>
      <c r="J180" s="21" t="e">
        <f t="shared" si="32"/>
        <v>#N/A</v>
      </c>
      <c r="K180" s="21" t="str">
        <f t="shared" si="36"/>
        <v/>
      </c>
    </row>
    <row r="181" spans="2:11" x14ac:dyDescent="0.25">
      <c r="B181" s="9" t="e">
        <f t="shared" si="37"/>
        <v>#N/A</v>
      </c>
      <c r="C181" s="10" t="e">
        <f t="shared" si="29"/>
        <v>#N/A</v>
      </c>
      <c r="D181" s="11" t="str">
        <f>IF(ISERROR(B181),"",bsolve($B181,$E$2,$E$4,$E$8,$E$9))</f>
        <v/>
      </c>
      <c r="E181" s="11" t="str">
        <f t="shared" si="30"/>
        <v/>
      </c>
      <c r="F181" s="11" t="str">
        <f t="shared" si="33"/>
        <v/>
      </c>
      <c r="G181" s="11" t="str">
        <f t="shared" si="34"/>
        <v/>
      </c>
      <c r="H181" s="19" t="str">
        <f t="shared" si="31"/>
        <v/>
      </c>
      <c r="I181" s="21">
        <f t="shared" si="35"/>
        <v>0</v>
      </c>
      <c r="J181" s="21" t="e">
        <f t="shared" si="32"/>
        <v>#N/A</v>
      </c>
      <c r="K181" s="21" t="str">
        <f t="shared" si="36"/>
        <v/>
      </c>
    </row>
    <row r="182" spans="2:11" x14ac:dyDescent="0.25">
      <c r="B182" s="9" t="e">
        <f t="shared" si="37"/>
        <v>#N/A</v>
      </c>
      <c r="C182" s="10" t="e">
        <f t="shared" si="29"/>
        <v>#N/A</v>
      </c>
      <c r="D182" s="11" t="str">
        <f>IF(ISERROR(B182),"",bsolve($B182,$E$2,$E$4,$E$8,$E$9))</f>
        <v/>
      </c>
      <c r="E182" s="11" t="str">
        <f t="shared" si="30"/>
        <v/>
      </c>
      <c r="F182" s="11" t="str">
        <f t="shared" si="33"/>
        <v/>
      </c>
      <c r="G182" s="11" t="str">
        <f t="shared" si="34"/>
        <v/>
      </c>
      <c r="H182" s="19" t="str">
        <f t="shared" si="31"/>
        <v/>
      </c>
      <c r="I182" s="21">
        <f t="shared" si="35"/>
        <v>0</v>
      </c>
      <c r="J182" s="21" t="e">
        <f t="shared" si="32"/>
        <v>#N/A</v>
      </c>
      <c r="K182" s="21" t="str">
        <f t="shared" si="36"/>
        <v/>
      </c>
    </row>
    <row r="183" spans="2:11" x14ac:dyDescent="0.25">
      <c r="B183" s="9" t="e">
        <f t="shared" si="37"/>
        <v>#N/A</v>
      </c>
      <c r="C183" s="10" t="e">
        <f t="shared" si="29"/>
        <v>#N/A</v>
      </c>
      <c r="D183" s="11" t="str">
        <f>IF(ISERROR(B183),"",bsolve($B183,$E$2,$E$4,$E$8,$E$9))</f>
        <v/>
      </c>
      <c r="E183" s="11" t="str">
        <f t="shared" si="30"/>
        <v/>
      </c>
      <c r="F183" s="11" t="str">
        <f t="shared" si="33"/>
        <v/>
      </c>
      <c r="G183" s="11" t="str">
        <f t="shared" si="34"/>
        <v/>
      </c>
      <c r="H183" s="19" t="str">
        <f t="shared" si="31"/>
        <v/>
      </c>
      <c r="I183" s="21">
        <f t="shared" si="35"/>
        <v>0</v>
      </c>
      <c r="J183" s="21" t="e">
        <f t="shared" si="32"/>
        <v>#N/A</v>
      </c>
      <c r="K183" s="21" t="str">
        <f t="shared" si="36"/>
        <v/>
      </c>
    </row>
    <row r="184" spans="2:11" x14ac:dyDescent="0.25">
      <c r="B184" s="9" t="e">
        <f t="shared" si="37"/>
        <v>#N/A</v>
      </c>
      <c r="C184" s="10" t="e">
        <f t="shared" si="29"/>
        <v>#N/A</v>
      </c>
      <c r="D184" s="11" t="str">
        <f>IF(ISERROR(B184),"",bsolve($B184,$E$2,$E$4,$E$8,$E$9))</f>
        <v/>
      </c>
      <c r="E184" s="11" t="str">
        <f t="shared" si="30"/>
        <v/>
      </c>
      <c r="F184" s="11" t="str">
        <f t="shared" si="33"/>
        <v/>
      </c>
      <c r="G184" s="11" t="str">
        <f t="shared" si="34"/>
        <v/>
      </c>
      <c r="H184" s="19" t="str">
        <f t="shared" si="31"/>
        <v/>
      </c>
      <c r="I184" s="21">
        <f t="shared" si="35"/>
        <v>0</v>
      </c>
      <c r="J184" s="21" t="e">
        <f t="shared" si="32"/>
        <v>#N/A</v>
      </c>
      <c r="K184" s="21" t="str">
        <f t="shared" si="36"/>
        <v/>
      </c>
    </row>
    <row r="185" spans="2:11" x14ac:dyDescent="0.25">
      <c r="B185" s="9" t="e">
        <f t="shared" si="37"/>
        <v>#N/A</v>
      </c>
      <c r="C185" s="10" t="e">
        <f t="shared" si="29"/>
        <v>#N/A</v>
      </c>
      <c r="D185" s="11" t="str">
        <f>IF(ISERROR(B185),"",bsolve($B185,$E$2,$E$4,$E$8,$E$9))</f>
        <v/>
      </c>
      <c r="E185" s="11" t="str">
        <f t="shared" si="30"/>
        <v/>
      </c>
      <c r="F185" s="11" t="str">
        <f t="shared" si="33"/>
        <v/>
      </c>
      <c r="G185" s="11" t="str">
        <f t="shared" si="34"/>
        <v/>
      </c>
      <c r="H185" s="19" t="str">
        <f t="shared" si="31"/>
        <v/>
      </c>
      <c r="I185" s="21">
        <f t="shared" si="35"/>
        <v>0</v>
      </c>
      <c r="J185" s="21" t="e">
        <f t="shared" si="32"/>
        <v>#N/A</v>
      </c>
      <c r="K185" s="21" t="str">
        <f t="shared" si="36"/>
        <v/>
      </c>
    </row>
    <row r="186" spans="2:11" x14ac:dyDescent="0.25">
      <c r="B186" s="9" t="e">
        <f t="shared" si="37"/>
        <v>#N/A</v>
      </c>
      <c r="C186" s="10" t="e">
        <f t="shared" si="29"/>
        <v>#N/A</v>
      </c>
      <c r="D186" s="11" t="str">
        <f>IF(ISERROR(B186),"",bsolve($B186,$E$2,$E$4,$E$8,$E$9))</f>
        <v/>
      </c>
      <c r="E186" s="11" t="str">
        <f t="shared" si="30"/>
        <v/>
      </c>
      <c r="F186" s="11" t="str">
        <f t="shared" si="33"/>
        <v/>
      </c>
      <c r="G186" s="11" t="str">
        <f t="shared" si="34"/>
        <v/>
      </c>
      <c r="H186" s="19" t="str">
        <f t="shared" si="31"/>
        <v/>
      </c>
      <c r="I186" s="21">
        <f t="shared" si="35"/>
        <v>0</v>
      </c>
      <c r="J186" s="21" t="e">
        <f t="shared" si="32"/>
        <v>#N/A</v>
      </c>
      <c r="K186" s="21" t="str">
        <f t="shared" si="36"/>
        <v/>
      </c>
    </row>
    <row r="187" spans="2:11" x14ac:dyDescent="0.25">
      <c r="B187" s="9" t="e">
        <f t="shared" si="37"/>
        <v>#N/A</v>
      </c>
      <c r="C187" s="10" t="e">
        <f t="shared" si="29"/>
        <v>#N/A</v>
      </c>
      <c r="D187" s="11" t="str">
        <f>IF(ISERROR(B187),"",bsolve($B187,$E$2,$E$4,$E$8,$E$9))</f>
        <v/>
      </c>
      <c r="E187" s="11" t="str">
        <f t="shared" si="30"/>
        <v/>
      </c>
      <c r="F187" s="11" t="str">
        <f t="shared" si="33"/>
        <v/>
      </c>
      <c r="G187" s="11" t="str">
        <f t="shared" si="34"/>
        <v/>
      </c>
      <c r="H187" s="19" t="str">
        <f t="shared" si="31"/>
        <v/>
      </c>
      <c r="I187" s="21">
        <f t="shared" si="35"/>
        <v>0</v>
      </c>
      <c r="J187" s="21" t="e">
        <f t="shared" si="32"/>
        <v>#N/A</v>
      </c>
      <c r="K187" s="21" t="str">
        <f t="shared" si="36"/>
        <v/>
      </c>
    </row>
    <row r="188" spans="2:11" x14ac:dyDescent="0.25">
      <c r="B188" s="9" t="e">
        <f t="shared" si="37"/>
        <v>#N/A</v>
      </c>
      <c r="C188" s="10" t="e">
        <f t="shared" si="29"/>
        <v>#N/A</v>
      </c>
      <c r="D188" s="11" t="str">
        <f>IF(ISERROR(B188),"",bsolve($B188,$E$2,$E$4,$E$8,$E$9))</f>
        <v/>
      </c>
      <c r="E188" s="11" t="str">
        <f t="shared" si="30"/>
        <v/>
      </c>
      <c r="F188" s="11" t="str">
        <f t="shared" si="33"/>
        <v/>
      </c>
      <c r="G188" s="11" t="str">
        <f t="shared" si="34"/>
        <v/>
      </c>
      <c r="H188" s="19" t="str">
        <f t="shared" si="31"/>
        <v/>
      </c>
      <c r="I188" s="21">
        <f t="shared" si="35"/>
        <v>0</v>
      </c>
      <c r="J188" s="21" t="e">
        <f t="shared" si="32"/>
        <v>#N/A</v>
      </c>
      <c r="K188" s="21" t="str">
        <f t="shared" si="36"/>
        <v/>
      </c>
    </row>
    <row r="189" spans="2:11" x14ac:dyDescent="0.25">
      <c r="B189" s="9" t="e">
        <f t="shared" si="37"/>
        <v>#N/A</v>
      </c>
      <c r="C189" s="10" t="e">
        <f t="shared" si="29"/>
        <v>#N/A</v>
      </c>
      <c r="D189" s="11" t="str">
        <f>IF(ISERROR(B189),"",bsolve($B189,$E$2,$E$4,$E$8,$E$9))</f>
        <v/>
      </c>
      <c r="E189" s="11" t="str">
        <f t="shared" si="30"/>
        <v/>
      </c>
      <c r="F189" s="11" t="str">
        <f t="shared" si="33"/>
        <v/>
      </c>
      <c r="G189" s="11" t="str">
        <f t="shared" si="34"/>
        <v/>
      </c>
      <c r="H189" s="19" t="str">
        <f t="shared" si="31"/>
        <v/>
      </c>
      <c r="I189" s="21">
        <f t="shared" si="35"/>
        <v>0</v>
      </c>
      <c r="J189" s="21" t="e">
        <f t="shared" si="32"/>
        <v>#N/A</v>
      </c>
      <c r="K189" s="21" t="str">
        <f t="shared" si="36"/>
        <v/>
      </c>
    </row>
    <row r="190" spans="2:11" x14ac:dyDescent="0.25">
      <c r="B190" s="9" t="e">
        <f t="shared" si="37"/>
        <v>#N/A</v>
      </c>
      <c r="C190" s="10" t="e">
        <f t="shared" si="29"/>
        <v>#N/A</v>
      </c>
      <c r="D190" s="11" t="str">
        <f>IF(ISERROR(B190),"",bsolve($B190,$E$2,$E$4,$E$8,$E$9))</f>
        <v/>
      </c>
      <c r="E190" s="11" t="str">
        <f t="shared" si="30"/>
        <v/>
      </c>
      <c r="F190" s="11" t="str">
        <f t="shared" si="33"/>
        <v/>
      </c>
      <c r="G190" s="11" t="str">
        <f t="shared" si="34"/>
        <v/>
      </c>
      <c r="H190" s="19" t="str">
        <f t="shared" si="31"/>
        <v/>
      </c>
      <c r="I190" s="21">
        <f t="shared" si="35"/>
        <v>0</v>
      </c>
      <c r="J190" s="21" t="e">
        <f t="shared" si="32"/>
        <v>#N/A</v>
      </c>
      <c r="K190" s="21" t="str">
        <f t="shared" si="36"/>
        <v/>
      </c>
    </row>
    <row r="191" spans="2:11" x14ac:dyDescent="0.25">
      <c r="B191" s="9" t="e">
        <f t="shared" si="37"/>
        <v>#N/A</v>
      </c>
      <c r="C191" s="10" t="e">
        <f t="shared" si="29"/>
        <v>#N/A</v>
      </c>
      <c r="D191" s="11" t="str">
        <f>IF(ISERROR(B191),"",bsolve($B191,$E$2,$E$4,$E$8,$E$9))</f>
        <v/>
      </c>
      <c r="E191" s="11" t="str">
        <f t="shared" si="30"/>
        <v/>
      </c>
      <c r="F191" s="11" t="str">
        <f t="shared" si="33"/>
        <v/>
      </c>
      <c r="G191" s="11" t="str">
        <f t="shared" si="34"/>
        <v/>
      </c>
      <c r="H191" s="19" t="str">
        <f t="shared" si="31"/>
        <v/>
      </c>
      <c r="I191" s="21">
        <f t="shared" si="35"/>
        <v>0</v>
      </c>
      <c r="J191" s="21" t="e">
        <f t="shared" si="32"/>
        <v>#N/A</v>
      </c>
      <c r="K191" s="21" t="str">
        <f t="shared" si="36"/>
        <v/>
      </c>
    </row>
    <row r="192" spans="2:11" x14ac:dyDescent="0.25">
      <c r="B192" s="9" t="e">
        <f t="shared" si="37"/>
        <v>#N/A</v>
      </c>
      <c r="C192" s="10" t="e">
        <f t="shared" si="29"/>
        <v>#N/A</v>
      </c>
      <c r="D192" s="11" t="str">
        <f>IF(ISERROR(B192),"",bsolve($B192,$E$2,$E$4,$E$8,$E$9))</f>
        <v/>
      </c>
      <c r="E192" s="11" t="str">
        <f t="shared" si="30"/>
        <v/>
      </c>
      <c r="F192" s="11" t="str">
        <f t="shared" si="33"/>
        <v/>
      </c>
      <c r="G192" s="11" t="str">
        <f t="shared" si="34"/>
        <v/>
      </c>
      <c r="H192" s="19" t="str">
        <f t="shared" si="31"/>
        <v/>
      </c>
      <c r="I192" s="21">
        <f t="shared" si="35"/>
        <v>0</v>
      </c>
      <c r="J192" s="21" t="e">
        <f t="shared" si="32"/>
        <v>#N/A</v>
      </c>
      <c r="K192" s="21" t="str">
        <f t="shared" si="36"/>
        <v/>
      </c>
    </row>
    <row r="193" spans="2:11" x14ac:dyDescent="0.25">
      <c r="B193" s="9" t="e">
        <f t="shared" si="37"/>
        <v>#N/A</v>
      </c>
      <c r="C193" s="10" t="e">
        <f t="shared" si="29"/>
        <v>#N/A</v>
      </c>
      <c r="D193" s="11" t="str">
        <f>IF(ISERROR(B193),"",bsolve($B193,$E$2,$E$4,$E$8,$E$9))</f>
        <v/>
      </c>
      <c r="E193" s="11" t="str">
        <f t="shared" si="30"/>
        <v/>
      </c>
      <c r="F193" s="11" t="str">
        <f t="shared" si="33"/>
        <v/>
      </c>
      <c r="G193" s="11" t="str">
        <f t="shared" si="34"/>
        <v/>
      </c>
      <c r="H193" s="19" t="str">
        <f t="shared" si="31"/>
        <v/>
      </c>
      <c r="I193" s="21">
        <f t="shared" si="35"/>
        <v>0</v>
      </c>
      <c r="J193" s="21" t="e">
        <f t="shared" si="32"/>
        <v>#N/A</v>
      </c>
      <c r="K193" s="21" t="str">
        <f t="shared" si="36"/>
        <v/>
      </c>
    </row>
    <row r="194" spans="2:11" x14ac:dyDescent="0.25">
      <c r="B194" s="9" t="e">
        <f t="shared" si="37"/>
        <v>#N/A</v>
      </c>
      <c r="C194" s="10" t="e">
        <f t="shared" si="29"/>
        <v>#N/A</v>
      </c>
      <c r="D194" s="11" t="str">
        <f>IF(ISERROR(B194),"",bsolve($B194,$E$2,$E$4,$E$8,$E$9))</f>
        <v/>
      </c>
      <c r="E194" s="11" t="str">
        <f t="shared" si="30"/>
        <v/>
      </c>
      <c r="F194" s="11" t="str">
        <f t="shared" si="33"/>
        <v/>
      </c>
      <c r="G194" s="11" t="str">
        <f t="shared" si="34"/>
        <v/>
      </c>
      <c r="H194" s="19" t="str">
        <f t="shared" si="31"/>
        <v/>
      </c>
      <c r="I194" s="21">
        <f t="shared" si="35"/>
        <v>0</v>
      </c>
      <c r="J194" s="21" t="e">
        <f t="shared" si="32"/>
        <v>#N/A</v>
      </c>
      <c r="K194" s="21" t="str">
        <f t="shared" si="36"/>
        <v/>
      </c>
    </row>
    <row r="195" spans="2:11" x14ac:dyDescent="0.25">
      <c r="B195" s="9" t="e">
        <f t="shared" si="37"/>
        <v>#N/A</v>
      </c>
      <c r="C195" s="10" t="e">
        <f t="shared" si="29"/>
        <v>#N/A</v>
      </c>
      <c r="D195" s="11" t="str">
        <f>IF(ISERROR(B195),"",bsolve($B195,$E$2,$E$4,$E$8,$E$9))</f>
        <v/>
      </c>
      <c r="E195" s="11" t="str">
        <f t="shared" si="30"/>
        <v/>
      </c>
      <c r="F195" s="11" t="str">
        <f t="shared" si="33"/>
        <v/>
      </c>
      <c r="G195" s="11" t="str">
        <f t="shared" si="34"/>
        <v/>
      </c>
      <c r="H195" s="19" t="str">
        <f t="shared" si="31"/>
        <v/>
      </c>
      <c r="I195" s="21">
        <f t="shared" si="35"/>
        <v>0</v>
      </c>
      <c r="J195" s="21" t="e">
        <f t="shared" si="32"/>
        <v>#N/A</v>
      </c>
      <c r="K195" s="21" t="str">
        <f t="shared" si="36"/>
        <v/>
      </c>
    </row>
    <row r="196" spans="2:11" x14ac:dyDescent="0.25">
      <c r="B196" s="9" t="e">
        <f t="shared" si="37"/>
        <v>#N/A</v>
      </c>
      <c r="C196" s="10" t="e">
        <f t="shared" si="29"/>
        <v>#N/A</v>
      </c>
      <c r="D196" s="11" t="str">
        <f>IF(ISERROR(B196),"",bsolve($B196,$E$2,$E$4,$E$8,$E$9))</f>
        <v/>
      </c>
      <c r="E196" s="11" t="str">
        <f t="shared" si="30"/>
        <v/>
      </c>
      <c r="F196" s="11" t="str">
        <f t="shared" si="33"/>
        <v/>
      </c>
      <c r="G196" s="11" t="str">
        <f t="shared" si="34"/>
        <v/>
      </c>
      <c r="H196" s="19" t="str">
        <f t="shared" si="31"/>
        <v/>
      </c>
      <c r="I196" s="21">
        <f t="shared" si="35"/>
        <v>0</v>
      </c>
      <c r="J196" s="21" t="e">
        <f t="shared" si="32"/>
        <v>#N/A</v>
      </c>
      <c r="K196" s="21" t="str">
        <f t="shared" si="36"/>
        <v/>
      </c>
    </row>
    <row r="197" spans="2:11" x14ac:dyDescent="0.25">
      <c r="B197" s="9" t="e">
        <f t="shared" si="37"/>
        <v>#N/A</v>
      </c>
      <c r="C197" s="10" t="e">
        <f t="shared" si="29"/>
        <v>#N/A</v>
      </c>
      <c r="D197" s="11" t="str">
        <f>IF(ISERROR(B197),"",bsolve($B197,$E$2,$E$4,$E$8,$E$9))</f>
        <v/>
      </c>
      <c r="E197" s="11" t="str">
        <f t="shared" si="30"/>
        <v/>
      </c>
      <c r="F197" s="11" t="str">
        <f t="shared" si="33"/>
        <v/>
      </c>
      <c r="G197" s="11" t="str">
        <f t="shared" si="34"/>
        <v/>
      </c>
      <c r="H197" s="19" t="str">
        <f t="shared" si="31"/>
        <v/>
      </c>
      <c r="I197" s="21">
        <f t="shared" si="35"/>
        <v>0</v>
      </c>
      <c r="J197" s="21" t="e">
        <f t="shared" si="32"/>
        <v>#N/A</v>
      </c>
      <c r="K197" s="21" t="str">
        <f t="shared" si="36"/>
        <v/>
      </c>
    </row>
    <row r="198" spans="2:11" x14ac:dyDescent="0.25">
      <c r="B198" s="9" t="e">
        <f t="shared" si="37"/>
        <v>#N/A</v>
      </c>
      <c r="C198" s="10" t="e">
        <f t="shared" si="29"/>
        <v>#N/A</v>
      </c>
      <c r="D198" s="11" t="str">
        <f>IF(ISERROR(B198),"",bsolve($B198,$E$2,$E$4,$E$8,$E$9))</f>
        <v/>
      </c>
      <c r="E198" s="11" t="str">
        <f t="shared" si="30"/>
        <v/>
      </c>
      <c r="F198" s="11" t="str">
        <f t="shared" si="33"/>
        <v/>
      </c>
      <c r="G198" s="11" t="str">
        <f t="shared" si="34"/>
        <v/>
      </c>
      <c r="H198" s="19" t="str">
        <f t="shared" si="31"/>
        <v/>
      </c>
      <c r="I198" s="21">
        <f t="shared" si="35"/>
        <v>0</v>
      </c>
      <c r="J198" s="21" t="e">
        <f t="shared" si="32"/>
        <v>#N/A</v>
      </c>
      <c r="K198" s="21" t="str">
        <f t="shared" si="36"/>
        <v/>
      </c>
    </row>
    <row r="199" spans="2:11" x14ac:dyDescent="0.25">
      <c r="B199" s="9" t="e">
        <f t="shared" si="37"/>
        <v>#N/A</v>
      </c>
      <c r="C199" s="10" t="e">
        <f t="shared" si="29"/>
        <v>#N/A</v>
      </c>
      <c r="D199" s="11" t="str">
        <f>IF(ISERROR(B199),"",bsolve($B199,$E$2,$E$4,$E$8,$E$9))</f>
        <v/>
      </c>
      <c r="E199" s="11" t="str">
        <f t="shared" si="30"/>
        <v/>
      </c>
      <c r="F199" s="11" t="str">
        <f t="shared" si="33"/>
        <v/>
      </c>
      <c r="G199" s="11" t="str">
        <f t="shared" si="34"/>
        <v/>
      </c>
      <c r="H199" s="19" t="str">
        <f t="shared" si="31"/>
        <v/>
      </c>
      <c r="I199" s="21">
        <f t="shared" si="35"/>
        <v>0</v>
      </c>
      <c r="J199" s="21" t="e">
        <f t="shared" si="32"/>
        <v>#N/A</v>
      </c>
      <c r="K199" s="21" t="str">
        <f t="shared" si="36"/>
        <v/>
      </c>
    </row>
    <row r="200" spans="2:11" x14ac:dyDescent="0.25">
      <c r="B200" s="9" t="e">
        <f t="shared" si="37"/>
        <v>#N/A</v>
      </c>
      <c r="C200" s="10" t="e">
        <f t="shared" si="29"/>
        <v>#N/A</v>
      </c>
      <c r="D200" s="11" t="str">
        <f>IF(ISERROR(B200),"",bsolve($B200,$E$2,$E$4,$E$8,$E$9))</f>
        <v/>
      </c>
      <c r="E200" s="11" t="str">
        <f t="shared" si="30"/>
        <v/>
      </c>
      <c r="F200" s="11" t="str">
        <f t="shared" si="33"/>
        <v/>
      </c>
      <c r="G200" s="11" t="str">
        <f t="shared" si="34"/>
        <v/>
      </c>
      <c r="H200" s="19" t="str">
        <f t="shared" si="31"/>
        <v/>
      </c>
      <c r="I200" s="21">
        <f t="shared" si="35"/>
        <v>0</v>
      </c>
      <c r="J200" s="21" t="e">
        <f t="shared" si="32"/>
        <v>#N/A</v>
      </c>
      <c r="K200" s="21" t="str">
        <f t="shared" si="36"/>
        <v/>
      </c>
    </row>
    <row r="201" spans="2:11" x14ac:dyDescent="0.25">
      <c r="B201" s="9" t="e">
        <f t="shared" si="37"/>
        <v>#N/A</v>
      </c>
      <c r="C201" s="10" t="e">
        <f t="shared" si="29"/>
        <v>#N/A</v>
      </c>
      <c r="D201" s="11" t="str">
        <f>IF(ISERROR(B201),"",bsolve($B201,$E$2,$E$4,$E$8,$E$9))</f>
        <v/>
      </c>
      <c r="E201" s="11" t="str">
        <f t="shared" si="30"/>
        <v/>
      </c>
      <c r="F201" s="11" t="str">
        <f t="shared" si="33"/>
        <v/>
      </c>
      <c r="G201" s="11" t="str">
        <f t="shared" si="34"/>
        <v/>
      </c>
      <c r="H201" s="19" t="str">
        <f t="shared" si="31"/>
        <v/>
      </c>
      <c r="I201" s="21">
        <f t="shared" si="35"/>
        <v>0</v>
      </c>
      <c r="J201" s="21" t="e">
        <f t="shared" si="32"/>
        <v>#N/A</v>
      </c>
      <c r="K201" s="21" t="str">
        <f t="shared" si="36"/>
        <v/>
      </c>
    </row>
    <row r="202" spans="2:11" x14ac:dyDescent="0.25">
      <c r="B202" s="9" t="e">
        <f t="shared" si="37"/>
        <v>#N/A</v>
      </c>
      <c r="C202" s="10" t="e">
        <f t="shared" si="29"/>
        <v>#N/A</v>
      </c>
      <c r="D202" s="11" t="str">
        <f>IF(ISERROR(B202),"",bsolve($B202,$E$2,$E$4,$E$8,$E$9))</f>
        <v/>
      </c>
      <c r="E202" s="11" t="str">
        <f t="shared" si="30"/>
        <v/>
      </c>
      <c r="F202" s="11" t="str">
        <f t="shared" si="33"/>
        <v/>
      </c>
      <c r="G202" s="11" t="str">
        <f t="shared" si="34"/>
        <v/>
      </c>
      <c r="H202" s="19" t="str">
        <f t="shared" si="31"/>
        <v/>
      </c>
      <c r="I202" s="21">
        <f t="shared" si="35"/>
        <v>0</v>
      </c>
      <c r="J202" s="21" t="e">
        <f t="shared" si="32"/>
        <v>#N/A</v>
      </c>
      <c r="K202" s="21" t="str">
        <f t="shared" si="36"/>
        <v/>
      </c>
    </row>
    <row r="203" spans="2:11" x14ac:dyDescent="0.25">
      <c r="B203" s="9" t="e">
        <f t="shared" si="37"/>
        <v>#N/A</v>
      </c>
      <c r="C203" s="10" t="e">
        <f t="shared" si="29"/>
        <v>#N/A</v>
      </c>
      <c r="D203" s="11" t="str">
        <f>IF(ISERROR(B203),"",bsolve($B203,$E$2,$E$4,$E$8,$E$9))</f>
        <v/>
      </c>
      <c r="E203" s="11" t="str">
        <f t="shared" si="30"/>
        <v/>
      </c>
      <c r="F203" s="11" t="str">
        <f t="shared" si="33"/>
        <v/>
      </c>
      <c r="G203" s="11" t="str">
        <f t="shared" si="34"/>
        <v/>
      </c>
      <c r="H203" s="19" t="str">
        <f t="shared" si="31"/>
        <v/>
      </c>
      <c r="I203" s="21">
        <f t="shared" si="35"/>
        <v>0</v>
      </c>
      <c r="J203" s="21" t="e">
        <f t="shared" si="32"/>
        <v>#N/A</v>
      </c>
      <c r="K203" s="21" t="str">
        <f t="shared" si="36"/>
        <v/>
      </c>
    </row>
    <row r="204" spans="2:11" x14ac:dyDescent="0.25">
      <c r="B204" s="9" t="e">
        <f t="shared" si="37"/>
        <v>#N/A</v>
      </c>
      <c r="C204" s="10" t="e">
        <f t="shared" si="29"/>
        <v>#N/A</v>
      </c>
      <c r="D204" s="11" t="str">
        <f>IF(ISERROR(B204),"",bsolve($B204,$E$2,$E$4,$E$8,$E$9))</f>
        <v/>
      </c>
      <c r="E204" s="11" t="str">
        <f t="shared" si="30"/>
        <v/>
      </c>
      <c r="F204" s="11" t="str">
        <f t="shared" si="33"/>
        <v/>
      </c>
      <c r="G204" s="11" t="str">
        <f t="shared" si="34"/>
        <v/>
      </c>
      <c r="H204" s="19" t="str">
        <f t="shared" si="31"/>
        <v/>
      </c>
      <c r="I204" s="21">
        <f t="shared" si="35"/>
        <v>0</v>
      </c>
      <c r="J204" s="21" t="e">
        <f t="shared" si="32"/>
        <v>#N/A</v>
      </c>
      <c r="K204" s="21" t="str">
        <f t="shared" si="36"/>
        <v/>
      </c>
    </row>
    <row r="205" spans="2:11" x14ac:dyDescent="0.25">
      <c r="B205" s="9" t="e">
        <f t="shared" si="37"/>
        <v>#N/A</v>
      </c>
      <c r="C205" s="10" t="e">
        <f t="shared" si="29"/>
        <v>#N/A</v>
      </c>
      <c r="D205" s="11" t="str">
        <f>IF(ISERROR(B205),"",bsolve($B205,$E$2,$E$4,$E$8,$E$9))</f>
        <v/>
      </c>
      <c r="E205" s="11" t="str">
        <f t="shared" si="30"/>
        <v/>
      </c>
      <c r="F205" s="11" t="str">
        <f t="shared" si="33"/>
        <v/>
      </c>
      <c r="G205" s="11" t="str">
        <f t="shared" si="34"/>
        <v/>
      </c>
      <c r="H205" s="19" t="str">
        <f t="shared" si="31"/>
        <v/>
      </c>
      <c r="I205" s="21">
        <f t="shared" si="35"/>
        <v>0</v>
      </c>
      <c r="J205" s="21" t="e">
        <f t="shared" si="32"/>
        <v>#N/A</v>
      </c>
      <c r="K205" s="21" t="str">
        <f t="shared" si="36"/>
        <v/>
      </c>
    </row>
    <row r="206" spans="2:11" x14ac:dyDescent="0.25">
      <c r="B206" s="9" t="e">
        <f t="shared" si="37"/>
        <v>#N/A</v>
      </c>
      <c r="C206" s="10" t="e">
        <f t="shared" si="29"/>
        <v>#N/A</v>
      </c>
      <c r="D206" s="11" t="str">
        <f>IF(ISERROR(B206),"",bsolve($B206,$E$2,$E$4,$E$8,$E$9))</f>
        <v/>
      </c>
      <c r="E206" s="11" t="str">
        <f t="shared" si="30"/>
        <v/>
      </c>
      <c r="F206" s="11" t="str">
        <f t="shared" si="33"/>
        <v/>
      </c>
      <c r="G206" s="11" t="str">
        <f t="shared" si="34"/>
        <v/>
      </c>
      <c r="H206" s="19" t="str">
        <f t="shared" si="31"/>
        <v/>
      </c>
      <c r="I206" s="21">
        <f t="shared" si="35"/>
        <v>0</v>
      </c>
      <c r="J206" s="21" t="e">
        <f t="shared" si="32"/>
        <v>#N/A</v>
      </c>
      <c r="K206" s="21" t="str">
        <f t="shared" si="36"/>
        <v/>
      </c>
    </row>
    <row r="207" spans="2:11" x14ac:dyDescent="0.25">
      <c r="B207" s="9" t="e">
        <f t="shared" si="37"/>
        <v>#N/A</v>
      </c>
      <c r="C207" s="10" t="e">
        <f t="shared" si="29"/>
        <v>#N/A</v>
      </c>
      <c r="D207" s="11" t="str">
        <f>IF(ISERROR(B207),"",bsolve($B207,$E$2,$E$4,$E$8,$E$9))</f>
        <v/>
      </c>
      <c r="E207" s="11" t="str">
        <f t="shared" si="30"/>
        <v/>
      </c>
      <c r="F207" s="11" t="str">
        <f t="shared" si="33"/>
        <v/>
      </c>
      <c r="G207" s="11" t="str">
        <f t="shared" si="34"/>
        <v/>
      </c>
      <c r="H207" s="19" t="str">
        <f t="shared" si="31"/>
        <v/>
      </c>
      <c r="I207" s="21">
        <f t="shared" si="35"/>
        <v>0</v>
      </c>
      <c r="J207" s="21" t="e">
        <f t="shared" si="32"/>
        <v>#N/A</v>
      </c>
      <c r="K207" s="21" t="str">
        <f t="shared" si="36"/>
        <v/>
      </c>
    </row>
    <row r="208" spans="2:11" x14ac:dyDescent="0.25">
      <c r="B208" s="9" t="e">
        <f t="shared" si="37"/>
        <v>#N/A</v>
      </c>
      <c r="C208" s="10" t="e">
        <f t="shared" si="29"/>
        <v>#N/A</v>
      </c>
      <c r="D208" s="11" t="str">
        <f>IF(ISERROR(B208),"",bsolve($B208,$E$2,$E$4,$E$8,$E$9))</f>
        <v/>
      </c>
      <c r="E208" s="11" t="str">
        <f t="shared" si="30"/>
        <v/>
      </c>
      <c r="F208" s="11" t="str">
        <f t="shared" si="33"/>
        <v/>
      </c>
      <c r="G208" s="11" t="str">
        <f t="shared" si="34"/>
        <v/>
      </c>
      <c r="H208" s="19" t="str">
        <f t="shared" si="31"/>
        <v/>
      </c>
      <c r="I208" s="21">
        <f t="shared" si="35"/>
        <v>0</v>
      </c>
      <c r="J208" s="21" t="e">
        <f t="shared" si="32"/>
        <v>#N/A</v>
      </c>
      <c r="K208" s="21" t="str">
        <f t="shared" si="36"/>
        <v/>
      </c>
    </row>
    <row r="209" spans="2:11" x14ac:dyDescent="0.25">
      <c r="B209" s="9" t="e">
        <f t="shared" si="37"/>
        <v>#N/A</v>
      </c>
      <c r="C209" s="10" t="e">
        <f t="shared" si="29"/>
        <v>#N/A</v>
      </c>
      <c r="D209" s="11" t="str">
        <f>IF(ISERROR(B209),"",bsolve($B209,$E$2,$E$4,$E$8,$E$9))</f>
        <v/>
      </c>
      <c r="E209" s="11" t="str">
        <f t="shared" si="30"/>
        <v/>
      </c>
      <c r="F209" s="11" t="str">
        <f t="shared" si="33"/>
        <v/>
      </c>
      <c r="G209" s="11" t="str">
        <f t="shared" si="34"/>
        <v/>
      </c>
      <c r="H209" s="19" t="str">
        <f t="shared" si="31"/>
        <v/>
      </c>
      <c r="I209" s="21">
        <f t="shared" si="35"/>
        <v>0</v>
      </c>
      <c r="J209" s="21" t="e">
        <f t="shared" si="32"/>
        <v>#N/A</v>
      </c>
      <c r="K209" s="21" t="str">
        <f t="shared" si="36"/>
        <v/>
      </c>
    </row>
    <row r="210" spans="2:11" x14ac:dyDescent="0.25">
      <c r="B210" s="9" t="e">
        <f t="shared" si="37"/>
        <v>#N/A</v>
      </c>
      <c r="C210" s="10" t="e">
        <f t="shared" ref="C210:C273" si="38">IF(B210="","",100*B210/$E$2)</f>
        <v>#N/A</v>
      </c>
      <c r="D210" s="11" t="str">
        <f>IF(ISERROR(B210),"",bsolve($B210,$E$2,$E$4,$E$8,$E$9))</f>
        <v/>
      </c>
      <c r="E210" s="11" t="str">
        <f t="shared" ref="E210:E273" si="39">IF(ISERROR(B210),"",IF(AND($E$7&lt;$E$5,C210&gt;=($E$5*100)),D210,0))</f>
        <v/>
      </c>
      <c r="F210" s="11" t="str">
        <f t="shared" si="33"/>
        <v/>
      </c>
      <c r="G210" s="11" t="str">
        <f t="shared" si="34"/>
        <v/>
      </c>
      <c r="H210" s="19" t="str">
        <f t="shared" ref="H210:H273" si="40">IF(ISERROR(B210),"",100*((B210*(1-$E$9))+($E$2-B210)*$E$8)/$E$2)</f>
        <v/>
      </c>
      <c r="I210" s="21">
        <f t="shared" si="35"/>
        <v>0</v>
      </c>
      <c r="J210" s="21" t="e">
        <f t="shared" ref="J210:J273" si="41">IF(ISERROR(B210),NA(),IF(AND(H210&gt;=$E$5*100,B210/$E$2&lt;$E$5),H210,NA()))</f>
        <v>#N/A</v>
      </c>
      <c r="K210" s="21" t="str">
        <f t="shared" si="36"/>
        <v/>
      </c>
    </row>
    <row r="211" spans="2:11" x14ac:dyDescent="0.25">
      <c r="B211" s="9" t="e">
        <f t="shared" si="37"/>
        <v>#N/A</v>
      </c>
      <c r="C211" s="10" t="e">
        <f t="shared" si="38"/>
        <v>#N/A</v>
      </c>
      <c r="D211" s="11" t="str">
        <f>IF(ISERROR(B211),"",bsolve($B211,$E$2,$E$4,$E$8,$E$9))</f>
        <v/>
      </c>
      <c r="E211" s="11" t="str">
        <f t="shared" si="39"/>
        <v/>
      </c>
      <c r="F211" s="11" t="str">
        <f t="shared" ref="F211:F274" si="42">IF(ISERROR(B211),"",IF(AND($E$7&gt;=$E$5,C211&lt;($E$5*100)),D211,0))</f>
        <v/>
      </c>
      <c r="G211" s="11" t="str">
        <f t="shared" ref="G211:G274" si="43">IF(ISERROR(B211),"",IF(C211&gt;=$E$5*100,D211,""))</f>
        <v/>
      </c>
      <c r="H211" s="19" t="str">
        <f t="shared" si="40"/>
        <v/>
      </c>
      <c r="I211" s="21">
        <f t="shared" ref="I211:I274" si="44">IF(NOT(ISERROR(J211)),B211,0)</f>
        <v>0</v>
      </c>
      <c r="J211" s="21" t="e">
        <f t="shared" si="41"/>
        <v>#N/A</v>
      </c>
      <c r="K211" s="21" t="str">
        <f t="shared" ref="K211:K274" si="45">IF(AND(I211=0,I212&gt;0),B211,"")</f>
        <v/>
      </c>
    </row>
    <row r="212" spans="2:11" x14ac:dyDescent="0.25">
      <c r="B212" s="9" t="e">
        <f t="shared" ref="B212:B275" si="46">IF(ROW()-18&lt;=$E$2,B211+1,NA())</f>
        <v>#N/A</v>
      </c>
      <c r="C212" s="10" t="e">
        <f t="shared" si="38"/>
        <v>#N/A</v>
      </c>
      <c r="D212" s="11" t="str">
        <f>IF(ISERROR(B212),"",bsolve($B212,$E$2,$E$4,$E$8,$E$9))</f>
        <v/>
      </c>
      <c r="E212" s="11" t="str">
        <f t="shared" si="39"/>
        <v/>
      </c>
      <c r="F212" s="11" t="str">
        <f t="shared" si="42"/>
        <v/>
      </c>
      <c r="G212" s="11" t="str">
        <f t="shared" si="43"/>
        <v/>
      </c>
      <c r="H212" s="19" t="str">
        <f t="shared" si="40"/>
        <v/>
      </c>
      <c r="I212" s="21">
        <f t="shared" si="44"/>
        <v>0</v>
      </c>
      <c r="J212" s="21" t="e">
        <f t="shared" si="41"/>
        <v>#N/A</v>
      </c>
      <c r="K212" s="21" t="str">
        <f t="shared" si="45"/>
        <v/>
      </c>
    </row>
    <row r="213" spans="2:11" x14ac:dyDescent="0.25">
      <c r="B213" s="9" t="e">
        <f t="shared" si="46"/>
        <v>#N/A</v>
      </c>
      <c r="C213" s="10" t="e">
        <f t="shared" si="38"/>
        <v>#N/A</v>
      </c>
      <c r="D213" s="11" t="str">
        <f>IF(ISERROR(B213),"",bsolve($B213,$E$2,$E$4,$E$8,$E$9))</f>
        <v/>
      </c>
      <c r="E213" s="11" t="str">
        <f t="shared" si="39"/>
        <v/>
      </c>
      <c r="F213" s="11" t="str">
        <f t="shared" si="42"/>
        <v/>
      </c>
      <c r="G213" s="11" t="str">
        <f t="shared" si="43"/>
        <v/>
      </c>
      <c r="H213" s="19" t="str">
        <f t="shared" si="40"/>
        <v/>
      </c>
      <c r="I213" s="21">
        <f t="shared" si="44"/>
        <v>0</v>
      </c>
      <c r="J213" s="21" t="e">
        <f t="shared" si="41"/>
        <v>#N/A</v>
      </c>
      <c r="K213" s="21" t="str">
        <f t="shared" si="45"/>
        <v/>
      </c>
    </row>
    <row r="214" spans="2:11" x14ac:dyDescent="0.25">
      <c r="B214" s="9" t="e">
        <f t="shared" si="46"/>
        <v>#N/A</v>
      </c>
      <c r="C214" s="10" t="e">
        <f t="shared" si="38"/>
        <v>#N/A</v>
      </c>
      <c r="D214" s="11" t="str">
        <f>IF(ISERROR(B214),"",bsolve($B214,$E$2,$E$4,$E$8,$E$9))</f>
        <v/>
      </c>
      <c r="E214" s="11" t="str">
        <f t="shared" si="39"/>
        <v/>
      </c>
      <c r="F214" s="11" t="str">
        <f t="shared" si="42"/>
        <v/>
      </c>
      <c r="G214" s="11" t="str">
        <f t="shared" si="43"/>
        <v/>
      </c>
      <c r="H214" s="19" t="str">
        <f t="shared" si="40"/>
        <v/>
      </c>
      <c r="I214" s="21">
        <f t="shared" si="44"/>
        <v>0</v>
      </c>
      <c r="J214" s="21" t="e">
        <f t="shared" si="41"/>
        <v>#N/A</v>
      </c>
      <c r="K214" s="21" t="str">
        <f t="shared" si="45"/>
        <v/>
      </c>
    </row>
    <row r="215" spans="2:11" x14ac:dyDescent="0.25">
      <c r="B215" s="9" t="e">
        <f t="shared" si="46"/>
        <v>#N/A</v>
      </c>
      <c r="C215" s="10" t="e">
        <f t="shared" si="38"/>
        <v>#N/A</v>
      </c>
      <c r="D215" s="11" t="str">
        <f>IF(ISERROR(B215),"",bsolve($B215,$E$2,$E$4,$E$8,$E$9))</f>
        <v/>
      </c>
      <c r="E215" s="11" t="str">
        <f t="shared" si="39"/>
        <v/>
      </c>
      <c r="F215" s="11" t="str">
        <f t="shared" si="42"/>
        <v/>
      </c>
      <c r="G215" s="11" t="str">
        <f t="shared" si="43"/>
        <v/>
      </c>
      <c r="H215" s="19" t="str">
        <f t="shared" si="40"/>
        <v/>
      </c>
      <c r="I215" s="21">
        <f t="shared" si="44"/>
        <v>0</v>
      </c>
      <c r="J215" s="21" t="e">
        <f t="shared" si="41"/>
        <v>#N/A</v>
      </c>
      <c r="K215" s="21" t="str">
        <f t="shared" si="45"/>
        <v/>
      </c>
    </row>
    <row r="216" spans="2:11" x14ac:dyDescent="0.25">
      <c r="B216" s="9" t="e">
        <f t="shared" si="46"/>
        <v>#N/A</v>
      </c>
      <c r="C216" s="10" t="e">
        <f t="shared" si="38"/>
        <v>#N/A</v>
      </c>
      <c r="D216" s="11" t="str">
        <f>IF(ISERROR(B216),"",bsolve($B216,$E$2,$E$4,$E$8,$E$9))</f>
        <v/>
      </c>
      <c r="E216" s="11" t="str">
        <f t="shared" si="39"/>
        <v/>
      </c>
      <c r="F216" s="11" t="str">
        <f t="shared" si="42"/>
        <v/>
      </c>
      <c r="G216" s="11" t="str">
        <f t="shared" si="43"/>
        <v/>
      </c>
      <c r="H216" s="19" t="str">
        <f t="shared" si="40"/>
        <v/>
      </c>
      <c r="I216" s="21">
        <f t="shared" si="44"/>
        <v>0</v>
      </c>
      <c r="J216" s="21" t="e">
        <f t="shared" si="41"/>
        <v>#N/A</v>
      </c>
      <c r="K216" s="21" t="str">
        <f t="shared" si="45"/>
        <v/>
      </c>
    </row>
    <row r="217" spans="2:11" x14ac:dyDescent="0.25">
      <c r="B217" s="9" t="e">
        <f t="shared" si="46"/>
        <v>#N/A</v>
      </c>
      <c r="C217" s="10" t="e">
        <f t="shared" si="38"/>
        <v>#N/A</v>
      </c>
      <c r="D217" s="11" t="str">
        <f>IF(ISERROR(B217),"",bsolve($B217,$E$2,$E$4,$E$8,$E$9))</f>
        <v/>
      </c>
      <c r="E217" s="11" t="str">
        <f t="shared" si="39"/>
        <v/>
      </c>
      <c r="F217" s="11" t="str">
        <f t="shared" si="42"/>
        <v/>
      </c>
      <c r="G217" s="11" t="str">
        <f t="shared" si="43"/>
        <v/>
      </c>
      <c r="H217" s="19" t="str">
        <f t="shared" si="40"/>
        <v/>
      </c>
      <c r="I217" s="21">
        <f t="shared" si="44"/>
        <v>0</v>
      </c>
      <c r="J217" s="21" t="e">
        <f t="shared" si="41"/>
        <v>#N/A</v>
      </c>
      <c r="K217" s="21" t="str">
        <f t="shared" si="45"/>
        <v/>
      </c>
    </row>
    <row r="218" spans="2:11" x14ac:dyDescent="0.25">
      <c r="B218" s="9" t="e">
        <f t="shared" si="46"/>
        <v>#N/A</v>
      </c>
      <c r="C218" s="10" t="e">
        <f t="shared" si="38"/>
        <v>#N/A</v>
      </c>
      <c r="D218" s="11" t="str">
        <f>IF(ISERROR(B218),"",bsolve($B218,$E$2,$E$4,$E$8,$E$9))</f>
        <v/>
      </c>
      <c r="E218" s="11" t="str">
        <f t="shared" si="39"/>
        <v/>
      </c>
      <c r="F218" s="11" t="str">
        <f t="shared" si="42"/>
        <v/>
      </c>
      <c r="G218" s="11" t="str">
        <f t="shared" si="43"/>
        <v/>
      </c>
      <c r="H218" s="19" t="str">
        <f t="shared" si="40"/>
        <v/>
      </c>
      <c r="I218" s="21">
        <f t="shared" si="44"/>
        <v>0</v>
      </c>
      <c r="J218" s="21" t="e">
        <f t="shared" si="41"/>
        <v>#N/A</v>
      </c>
      <c r="K218" s="21" t="str">
        <f t="shared" si="45"/>
        <v/>
      </c>
    </row>
    <row r="219" spans="2:11" x14ac:dyDescent="0.25">
      <c r="B219" s="9" t="e">
        <f t="shared" si="46"/>
        <v>#N/A</v>
      </c>
      <c r="C219" s="10" t="e">
        <f t="shared" si="38"/>
        <v>#N/A</v>
      </c>
      <c r="D219" s="11" t="str">
        <f>IF(ISERROR(B219),"",bsolve($B219,$E$2,$E$4,$E$8,$E$9))</f>
        <v/>
      </c>
      <c r="E219" s="11" t="str">
        <f t="shared" si="39"/>
        <v/>
      </c>
      <c r="F219" s="11" t="str">
        <f t="shared" si="42"/>
        <v/>
      </c>
      <c r="G219" s="11" t="str">
        <f t="shared" si="43"/>
        <v/>
      </c>
      <c r="H219" s="19" t="str">
        <f t="shared" si="40"/>
        <v/>
      </c>
      <c r="I219" s="21">
        <f t="shared" si="44"/>
        <v>0</v>
      </c>
      <c r="J219" s="21" t="e">
        <f t="shared" si="41"/>
        <v>#N/A</v>
      </c>
      <c r="K219" s="21" t="str">
        <f t="shared" si="45"/>
        <v/>
      </c>
    </row>
    <row r="220" spans="2:11" x14ac:dyDescent="0.25">
      <c r="B220" s="9" t="e">
        <f t="shared" si="46"/>
        <v>#N/A</v>
      </c>
      <c r="C220" s="10" t="e">
        <f t="shared" si="38"/>
        <v>#N/A</v>
      </c>
      <c r="D220" s="11" t="str">
        <f>IF(ISERROR(B220),"",bsolve($B220,$E$2,$E$4,$E$8,$E$9))</f>
        <v/>
      </c>
      <c r="E220" s="11" t="str">
        <f t="shared" si="39"/>
        <v/>
      </c>
      <c r="F220" s="11" t="str">
        <f t="shared" si="42"/>
        <v/>
      </c>
      <c r="G220" s="11" t="str">
        <f t="shared" si="43"/>
        <v/>
      </c>
      <c r="H220" s="19" t="str">
        <f t="shared" si="40"/>
        <v/>
      </c>
      <c r="I220" s="21">
        <f t="shared" si="44"/>
        <v>0</v>
      </c>
      <c r="J220" s="21" t="e">
        <f t="shared" si="41"/>
        <v>#N/A</v>
      </c>
      <c r="K220" s="21" t="str">
        <f t="shared" si="45"/>
        <v/>
      </c>
    </row>
    <row r="221" spans="2:11" x14ac:dyDescent="0.25">
      <c r="B221" s="9" t="e">
        <f t="shared" si="46"/>
        <v>#N/A</v>
      </c>
      <c r="C221" s="10" t="e">
        <f t="shared" si="38"/>
        <v>#N/A</v>
      </c>
      <c r="D221" s="11" t="str">
        <f>IF(ISERROR(B221),"",bsolve($B221,$E$2,$E$4,$E$8,$E$9))</f>
        <v/>
      </c>
      <c r="E221" s="11" t="str">
        <f t="shared" si="39"/>
        <v/>
      </c>
      <c r="F221" s="11" t="str">
        <f t="shared" si="42"/>
        <v/>
      </c>
      <c r="G221" s="11" t="str">
        <f t="shared" si="43"/>
        <v/>
      </c>
      <c r="H221" s="19" t="str">
        <f t="shared" si="40"/>
        <v/>
      </c>
      <c r="I221" s="21">
        <f t="shared" si="44"/>
        <v>0</v>
      </c>
      <c r="J221" s="21" t="e">
        <f t="shared" si="41"/>
        <v>#N/A</v>
      </c>
      <c r="K221" s="21" t="str">
        <f t="shared" si="45"/>
        <v/>
      </c>
    </row>
    <row r="222" spans="2:11" x14ac:dyDescent="0.25">
      <c r="B222" s="9" t="e">
        <f t="shared" si="46"/>
        <v>#N/A</v>
      </c>
      <c r="C222" s="10" t="e">
        <f t="shared" si="38"/>
        <v>#N/A</v>
      </c>
      <c r="D222" s="11" t="str">
        <f>IF(ISERROR(B222),"",bsolve($B222,$E$2,$E$4,$E$8,$E$9))</f>
        <v/>
      </c>
      <c r="E222" s="11" t="str">
        <f t="shared" si="39"/>
        <v/>
      </c>
      <c r="F222" s="11" t="str">
        <f t="shared" si="42"/>
        <v/>
      </c>
      <c r="G222" s="11" t="str">
        <f t="shared" si="43"/>
        <v/>
      </c>
      <c r="H222" s="19" t="str">
        <f t="shared" si="40"/>
        <v/>
      </c>
      <c r="I222" s="21">
        <f t="shared" si="44"/>
        <v>0</v>
      </c>
      <c r="J222" s="21" t="e">
        <f t="shared" si="41"/>
        <v>#N/A</v>
      </c>
      <c r="K222" s="21" t="str">
        <f t="shared" si="45"/>
        <v/>
      </c>
    </row>
    <row r="223" spans="2:11" x14ac:dyDescent="0.25">
      <c r="B223" s="9" t="e">
        <f t="shared" si="46"/>
        <v>#N/A</v>
      </c>
      <c r="C223" s="10" t="e">
        <f t="shared" si="38"/>
        <v>#N/A</v>
      </c>
      <c r="D223" s="11" t="str">
        <f>IF(ISERROR(B223),"",bsolve($B223,$E$2,$E$4,$E$8,$E$9))</f>
        <v/>
      </c>
      <c r="E223" s="11" t="str">
        <f t="shared" si="39"/>
        <v/>
      </c>
      <c r="F223" s="11" t="str">
        <f t="shared" si="42"/>
        <v/>
      </c>
      <c r="G223" s="11" t="str">
        <f t="shared" si="43"/>
        <v/>
      </c>
      <c r="H223" s="19" t="str">
        <f t="shared" si="40"/>
        <v/>
      </c>
      <c r="I223" s="21">
        <f t="shared" si="44"/>
        <v>0</v>
      </c>
      <c r="J223" s="21" t="e">
        <f t="shared" si="41"/>
        <v>#N/A</v>
      </c>
      <c r="K223" s="21" t="str">
        <f t="shared" si="45"/>
        <v/>
      </c>
    </row>
    <row r="224" spans="2:11" x14ac:dyDescent="0.25">
      <c r="B224" s="9" t="e">
        <f t="shared" si="46"/>
        <v>#N/A</v>
      </c>
      <c r="C224" s="10" t="e">
        <f t="shared" si="38"/>
        <v>#N/A</v>
      </c>
      <c r="D224" s="11" t="str">
        <f>IF(ISERROR(B224),"",bsolve($B224,$E$2,$E$4,$E$8,$E$9))</f>
        <v/>
      </c>
      <c r="E224" s="11" t="str">
        <f t="shared" si="39"/>
        <v/>
      </c>
      <c r="F224" s="11" t="str">
        <f t="shared" si="42"/>
        <v/>
      </c>
      <c r="G224" s="11" t="str">
        <f t="shared" si="43"/>
        <v/>
      </c>
      <c r="H224" s="19" t="str">
        <f t="shared" si="40"/>
        <v/>
      </c>
      <c r="I224" s="21">
        <f t="shared" si="44"/>
        <v>0</v>
      </c>
      <c r="J224" s="21" t="e">
        <f t="shared" si="41"/>
        <v>#N/A</v>
      </c>
      <c r="K224" s="21" t="str">
        <f t="shared" si="45"/>
        <v/>
      </c>
    </row>
    <row r="225" spans="2:11" x14ac:dyDescent="0.25">
      <c r="B225" s="9" t="e">
        <f t="shared" si="46"/>
        <v>#N/A</v>
      </c>
      <c r="C225" s="10" t="e">
        <f t="shared" si="38"/>
        <v>#N/A</v>
      </c>
      <c r="D225" s="11" t="str">
        <f>IF(ISERROR(B225),"",bsolve($B225,$E$2,$E$4,$E$8,$E$9))</f>
        <v/>
      </c>
      <c r="E225" s="11" t="str">
        <f t="shared" si="39"/>
        <v/>
      </c>
      <c r="F225" s="11" t="str">
        <f t="shared" si="42"/>
        <v/>
      </c>
      <c r="G225" s="11" t="str">
        <f t="shared" si="43"/>
        <v/>
      </c>
      <c r="H225" s="19" t="str">
        <f t="shared" si="40"/>
        <v/>
      </c>
      <c r="I225" s="21">
        <f t="shared" si="44"/>
        <v>0</v>
      </c>
      <c r="J225" s="21" t="e">
        <f t="shared" si="41"/>
        <v>#N/A</v>
      </c>
      <c r="K225" s="21" t="str">
        <f t="shared" si="45"/>
        <v/>
      </c>
    </row>
    <row r="226" spans="2:11" x14ac:dyDescent="0.25">
      <c r="B226" s="9" t="e">
        <f t="shared" si="46"/>
        <v>#N/A</v>
      </c>
      <c r="C226" s="10" t="e">
        <f t="shared" si="38"/>
        <v>#N/A</v>
      </c>
      <c r="D226" s="11" t="str">
        <f>IF(ISERROR(B226),"",bsolve($B226,$E$2,$E$4,$E$8,$E$9))</f>
        <v/>
      </c>
      <c r="E226" s="11" t="str">
        <f t="shared" si="39"/>
        <v/>
      </c>
      <c r="F226" s="11" t="str">
        <f t="shared" si="42"/>
        <v/>
      </c>
      <c r="G226" s="11" t="str">
        <f t="shared" si="43"/>
        <v/>
      </c>
      <c r="H226" s="19" t="str">
        <f t="shared" si="40"/>
        <v/>
      </c>
      <c r="I226" s="21">
        <f t="shared" si="44"/>
        <v>0</v>
      </c>
      <c r="J226" s="21" t="e">
        <f t="shared" si="41"/>
        <v>#N/A</v>
      </c>
      <c r="K226" s="21" t="str">
        <f t="shared" si="45"/>
        <v/>
      </c>
    </row>
    <row r="227" spans="2:11" x14ac:dyDescent="0.25">
      <c r="B227" s="9" t="e">
        <f t="shared" si="46"/>
        <v>#N/A</v>
      </c>
      <c r="C227" s="10" t="e">
        <f t="shared" si="38"/>
        <v>#N/A</v>
      </c>
      <c r="D227" s="11" t="str">
        <f>IF(ISERROR(B227),"",bsolve($B227,$E$2,$E$4,$E$8,$E$9))</f>
        <v/>
      </c>
      <c r="E227" s="11" t="str">
        <f t="shared" si="39"/>
        <v/>
      </c>
      <c r="F227" s="11" t="str">
        <f t="shared" si="42"/>
        <v/>
      </c>
      <c r="G227" s="11" t="str">
        <f t="shared" si="43"/>
        <v/>
      </c>
      <c r="H227" s="19" t="str">
        <f t="shared" si="40"/>
        <v/>
      </c>
      <c r="I227" s="21">
        <f t="shared" si="44"/>
        <v>0</v>
      </c>
      <c r="J227" s="21" t="e">
        <f t="shared" si="41"/>
        <v>#N/A</v>
      </c>
      <c r="K227" s="21" t="str">
        <f t="shared" si="45"/>
        <v/>
      </c>
    </row>
    <row r="228" spans="2:11" x14ac:dyDescent="0.25">
      <c r="B228" s="9" t="e">
        <f t="shared" si="46"/>
        <v>#N/A</v>
      </c>
      <c r="C228" s="10" t="e">
        <f t="shared" si="38"/>
        <v>#N/A</v>
      </c>
      <c r="D228" s="11" t="str">
        <f>IF(ISERROR(B228),"",bsolve($B228,$E$2,$E$4,$E$8,$E$9))</f>
        <v/>
      </c>
      <c r="E228" s="11" t="str">
        <f t="shared" si="39"/>
        <v/>
      </c>
      <c r="F228" s="11" t="str">
        <f t="shared" si="42"/>
        <v/>
      </c>
      <c r="G228" s="11" t="str">
        <f t="shared" si="43"/>
        <v/>
      </c>
      <c r="H228" s="19" t="str">
        <f t="shared" si="40"/>
        <v/>
      </c>
      <c r="I228" s="21">
        <f t="shared" si="44"/>
        <v>0</v>
      </c>
      <c r="J228" s="21" t="e">
        <f t="shared" si="41"/>
        <v>#N/A</v>
      </c>
      <c r="K228" s="21" t="str">
        <f t="shared" si="45"/>
        <v/>
      </c>
    </row>
    <row r="229" spans="2:11" x14ac:dyDescent="0.25">
      <c r="B229" s="9" t="e">
        <f t="shared" si="46"/>
        <v>#N/A</v>
      </c>
      <c r="C229" s="10" t="e">
        <f t="shared" si="38"/>
        <v>#N/A</v>
      </c>
      <c r="D229" s="11" t="str">
        <f>IF(ISERROR(B229),"",bsolve($B229,$E$2,$E$4,$E$8,$E$9))</f>
        <v/>
      </c>
      <c r="E229" s="11" t="str">
        <f t="shared" si="39"/>
        <v/>
      </c>
      <c r="F229" s="11" t="str">
        <f t="shared" si="42"/>
        <v/>
      </c>
      <c r="G229" s="11" t="str">
        <f t="shared" si="43"/>
        <v/>
      </c>
      <c r="H229" s="19" t="str">
        <f t="shared" si="40"/>
        <v/>
      </c>
      <c r="I229" s="21">
        <f t="shared" si="44"/>
        <v>0</v>
      </c>
      <c r="J229" s="21" t="e">
        <f t="shared" si="41"/>
        <v>#N/A</v>
      </c>
      <c r="K229" s="21" t="str">
        <f t="shared" si="45"/>
        <v/>
      </c>
    </row>
    <row r="230" spans="2:11" x14ac:dyDescent="0.25">
      <c r="B230" s="9" t="e">
        <f t="shared" si="46"/>
        <v>#N/A</v>
      </c>
      <c r="C230" s="10" t="e">
        <f t="shared" si="38"/>
        <v>#N/A</v>
      </c>
      <c r="D230" s="11" t="str">
        <f>IF(ISERROR(B230),"",bsolve($B230,$E$2,$E$4,$E$8,$E$9))</f>
        <v/>
      </c>
      <c r="E230" s="11" t="str">
        <f t="shared" si="39"/>
        <v/>
      </c>
      <c r="F230" s="11" t="str">
        <f t="shared" si="42"/>
        <v/>
      </c>
      <c r="G230" s="11" t="str">
        <f t="shared" si="43"/>
        <v/>
      </c>
      <c r="H230" s="19" t="str">
        <f t="shared" si="40"/>
        <v/>
      </c>
      <c r="I230" s="21">
        <f t="shared" si="44"/>
        <v>0</v>
      </c>
      <c r="J230" s="21" t="e">
        <f t="shared" si="41"/>
        <v>#N/A</v>
      </c>
      <c r="K230" s="21" t="str">
        <f t="shared" si="45"/>
        <v/>
      </c>
    </row>
    <row r="231" spans="2:11" x14ac:dyDescent="0.25">
      <c r="B231" s="9" t="e">
        <f t="shared" si="46"/>
        <v>#N/A</v>
      </c>
      <c r="C231" s="10" t="e">
        <f t="shared" si="38"/>
        <v>#N/A</v>
      </c>
      <c r="D231" s="11" t="str">
        <f>IF(ISERROR(B231),"",bsolve($B231,$E$2,$E$4,$E$8,$E$9))</f>
        <v/>
      </c>
      <c r="E231" s="11" t="str">
        <f t="shared" si="39"/>
        <v/>
      </c>
      <c r="F231" s="11" t="str">
        <f t="shared" si="42"/>
        <v/>
      </c>
      <c r="G231" s="11" t="str">
        <f t="shared" si="43"/>
        <v/>
      </c>
      <c r="H231" s="19" t="str">
        <f t="shared" si="40"/>
        <v/>
      </c>
      <c r="I231" s="21">
        <f t="shared" si="44"/>
        <v>0</v>
      </c>
      <c r="J231" s="21" t="e">
        <f t="shared" si="41"/>
        <v>#N/A</v>
      </c>
      <c r="K231" s="21" t="str">
        <f t="shared" si="45"/>
        <v/>
      </c>
    </row>
    <row r="232" spans="2:11" x14ac:dyDescent="0.25">
      <c r="B232" s="9" t="e">
        <f t="shared" si="46"/>
        <v>#N/A</v>
      </c>
      <c r="C232" s="10" t="e">
        <f t="shared" si="38"/>
        <v>#N/A</v>
      </c>
      <c r="D232" s="11" t="str">
        <f>IF(ISERROR(B232),"",bsolve($B232,$E$2,$E$4,$E$8,$E$9))</f>
        <v/>
      </c>
      <c r="E232" s="11" t="str">
        <f t="shared" si="39"/>
        <v/>
      </c>
      <c r="F232" s="11" t="str">
        <f t="shared" si="42"/>
        <v/>
      </c>
      <c r="G232" s="11" t="str">
        <f t="shared" si="43"/>
        <v/>
      </c>
      <c r="H232" s="19" t="str">
        <f t="shared" si="40"/>
        <v/>
      </c>
      <c r="I232" s="21">
        <f t="shared" si="44"/>
        <v>0</v>
      </c>
      <c r="J232" s="21" t="e">
        <f t="shared" si="41"/>
        <v>#N/A</v>
      </c>
      <c r="K232" s="21" t="str">
        <f t="shared" si="45"/>
        <v/>
      </c>
    </row>
    <row r="233" spans="2:11" x14ac:dyDescent="0.25">
      <c r="B233" s="9" t="e">
        <f t="shared" si="46"/>
        <v>#N/A</v>
      </c>
      <c r="C233" s="10" t="e">
        <f t="shared" si="38"/>
        <v>#N/A</v>
      </c>
      <c r="D233" s="11" t="str">
        <f>IF(ISERROR(B233),"",bsolve($B233,$E$2,$E$4,$E$8,$E$9))</f>
        <v/>
      </c>
      <c r="E233" s="11" t="str">
        <f t="shared" si="39"/>
        <v/>
      </c>
      <c r="F233" s="11" t="str">
        <f t="shared" si="42"/>
        <v/>
      </c>
      <c r="G233" s="11" t="str">
        <f t="shared" si="43"/>
        <v/>
      </c>
      <c r="H233" s="19" t="str">
        <f t="shared" si="40"/>
        <v/>
      </c>
      <c r="I233" s="21">
        <f t="shared" si="44"/>
        <v>0</v>
      </c>
      <c r="J233" s="21" t="e">
        <f t="shared" si="41"/>
        <v>#N/A</v>
      </c>
      <c r="K233" s="21" t="str">
        <f t="shared" si="45"/>
        <v/>
      </c>
    </row>
    <row r="234" spans="2:11" x14ac:dyDescent="0.25">
      <c r="B234" s="9" t="e">
        <f t="shared" si="46"/>
        <v>#N/A</v>
      </c>
      <c r="C234" s="10" t="e">
        <f t="shared" si="38"/>
        <v>#N/A</v>
      </c>
      <c r="D234" s="11" t="str">
        <f>IF(ISERROR(B234),"",bsolve($B234,$E$2,$E$4,$E$8,$E$9))</f>
        <v/>
      </c>
      <c r="E234" s="11" t="str">
        <f t="shared" si="39"/>
        <v/>
      </c>
      <c r="F234" s="11" t="str">
        <f t="shared" si="42"/>
        <v/>
      </c>
      <c r="G234" s="11" t="str">
        <f t="shared" si="43"/>
        <v/>
      </c>
      <c r="H234" s="19" t="str">
        <f t="shared" si="40"/>
        <v/>
      </c>
      <c r="I234" s="21">
        <f t="shared" si="44"/>
        <v>0</v>
      </c>
      <c r="J234" s="21" t="e">
        <f t="shared" si="41"/>
        <v>#N/A</v>
      </c>
      <c r="K234" s="21" t="str">
        <f t="shared" si="45"/>
        <v/>
      </c>
    </row>
    <row r="235" spans="2:11" x14ac:dyDescent="0.25">
      <c r="B235" s="9" t="e">
        <f t="shared" si="46"/>
        <v>#N/A</v>
      </c>
      <c r="C235" s="10" t="e">
        <f t="shared" si="38"/>
        <v>#N/A</v>
      </c>
      <c r="D235" s="11" t="str">
        <f>IF(ISERROR(B235),"",bsolve($B235,$E$2,$E$4,$E$8,$E$9))</f>
        <v/>
      </c>
      <c r="E235" s="11" t="str">
        <f t="shared" si="39"/>
        <v/>
      </c>
      <c r="F235" s="11" t="str">
        <f t="shared" si="42"/>
        <v/>
      </c>
      <c r="G235" s="11" t="str">
        <f t="shared" si="43"/>
        <v/>
      </c>
      <c r="H235" s="19" t="str">
        <f t="shared" si="40"/>
        <v/>
      </c>
      <c r="I235" s="21">
        <f t="shared" si="44"/>
        <v>0</v>
      </c>
      <c r="J235" s="21" t="e">
        <f t="shared" si="41"/>
        <v>#N/A</v>
      </c>
      <c r="K235" s="21" t="str">
        <f t="shared" si="45"/>
        <v/>
      </c>
    </row>
    <row r="236" spans="2:11" x14ac:dyDescent="0.25">
      <c r="B236" s="9" t="e">
        <f t="shared" si="46"/>
        <v>#N/A</v>
      </c>
      <c r="C236" s="10" t="e">
        <f t="shared" si="38"/>
        <v>#N/A</v>
      </c>
      <c r="D236" s="11" t="str">
        <f>IF(ISERROR(B236),"",bsolve($B236,$E$2,$E$4,$E$8,$E$9))</f>
        <v/>
      </c>
      <c r="E236" s="11" t="str">
        <f t="shared" si="39"/>
        <v/>
      </c>
      <c r="F236" s="11" t="str">
        <f t="shared" si="42"/>
        <v/>
      </c>
      <c r="G236" s="11" t="str">
        <f t="shared" si="43"/>
        <v/>
      </c>
      <c r="H236" s="19" t="str">
        <f t="shared" si="40"/>
        <v/>
      </c>
      <c r="I236" s="21">
        <f t="shared" si="44"/>
        <v>0</v>
      </c>
      <c r="J236" s="21" t="e">
        <f t="shared" si="41"/>
        <v>#N/A</v>
      </c>
      <c r="K236" s="21" t="str">
        <f t="shared" si="45"/>
        <v/>
      </c>
    </row>
    <row r="237" spans="2:11" x14ac:dyDescent="0.25">
      <c r="B237" s="9" t="e">
        <f t="shared" si="46"/>
        <v>#N/A</v>
      </c>
      <c r="C237" s="10" t="e">
        <f t="shared" si="38"/>
        <v>#N/A</v>
      </c>
      <c r="D237" s="11" t="str">
        <f>IF(ISERROR(B237),"",bsolve($B237,$E$2,$E$4,$E$8,$E$9))</f>
        <v/>
      </c>
      <c r="E237" s="11" t="str">
        <f t="shared" si="39"/>
        <v/>
      </c>
      <c r="F237" s="11" t="str">
        <f t="shared" si="42"/>
        <v/>
      </c>
      <c r="G237" s="11" t="str">
        <f t="shared" si="43"/>
        <v/>
      </c>
      <c r="H237" s="19" t="str">
        <f t="shared" si="40"/>
        <v/>
      </c>
      <c r="I237" s="21">
        <f t="shared" si="44"/>
        <v>0</v>
      </c>
      <c r="J237" s="21" t="e">
        <f t="shared" si="41"/>
        <v>#N/A</v>
      </c>
      <c r="K237" s="21" t="str">
        <f t="shared" si="45"/>
        <v/>
      </c>
    </row>
    <row r="238" spans="2:11" x14ac:dyDescent="0.25">
      <c r="B238" s="9" t="e">
        <f t="shared" si="46"/>
        <v>#N/A</v>
      </c>
      <c r="C238" s="10" t="e">
        <f t="shared" si="38"/>
        <v>#N/A</v>
      </c>
      <c r="D238" s="11" t="str">
        <f>IF(ISERROR(B238),"",bsolve($B238,$E$2,$E$4,$E$8,$E$9))</f>
        <v/>
      </c>
      <c r="E238" s="11" t="str">
        <f t="shared" si="39"/>
        <v/>
      </c>
      <c r="F238" s="11" t="str">
        <f t="shared" si="42"/>
        <v/>
      </c>
      <c r="G238" s="11" t="str">
        <f t="shared" si="43"/>
        <v/>
      </c>
      <c r="H238" s="19" t="str">
        <f t="shared" si="40"/>
        <v/>
      </c>
      <c r="I238" s="21">
        <f t="shared" si="44"/>
        <v>0</v>
      </c>
      <c r="J238" s="21" t="e">
        <f t="shared" si="41"/>
        <v>#N/A</v>
      </c>
      <c r="K238" s="21" t="str">
        <f t="shared" si="45"/>
        <v/>
      </c>
    </row>
    <row r="239" spans="2:11" x14ac:dyDescent="0.25">
      <c r="B239" s="9" t="e">
        <f t="shared" si="46"/>
        <v>#N/A</v>
      </c>
      <c r="C239" s="10" t="e">
        <f t="shared" si="38"/>
        <v>#N/A</v>
      </c>
      <c r="D239" s="11" t="str">
        <f>IF(ISERROR(B239),"",bsolve($B239,$E$2,$E$4,$E$8,$E$9))</f>
        <v/>
      </c>
      <c r="E239" s="11" t="str">
        <f t="shared" si="39"/>
        <v/>
      </c>
      <c r="F239" s="11" t="str">
        <f t="shared" si="42"/>
        <v/>
      </c>
      <c r="G239" s="11" t="str">
        <f t="shared" si="43"/>
        <v/>
      </c>
      <c r="H239" s="19" t="str">
        <f t="shared" si="40"/>
        <v/>
      </c>
      <c r="I239" s="21">
        <f t="shared" si="44"/>
        <v>0</v>
      </c>
      <c r="J239" s="21" t="e">
        <f t="shared" si="41"/>
        <v>#N/A</v>
      </c>
      <c r="K239" s="21" t="str">
        <f t="shared" si="45"/>
        <v/>
      </c>
    </row>
    <row r="240" spans="2:11" x14ac:dyDescent="0.25">
      <c r="B240" s="9" t="e">
        <f t="shared" si="46"/>
        <v>#N/A</v>
      </c>
      <c r="C240" s="10" t="e">
        <f t="shared" si="38"/>
        <v>#N/A</v>
      </c>
      <c r="D240" s="11" t="str">
        <f>IF(ISERROR(B240),"",bsolve($B240,$E$2,$E$4,$E$8,$E$9))</f>
        <v/>
      </c>
      <c r="E240" s="11" t="str">
        <f t="shared" si="39"/>
        <v/>
      </c>
      <c r="F240" s="11" t="str">
        <f t="shared" si="42"/>
        <v/>
      </c>
      <c r="G240" s="11" t="str">
        <f t="shared" si="43"/>
        <v/>
      </c>
      <c r="H240" s="19" t="str">
        <f t="shared" si="40"/>
        <v/>
      </c>
      <c r="I240" s="21">
        <f t="shared" si="44"/>
        <v>0</v>
      </c>
      <c r="J240" s="21" t="e">
        <f t="shared" si="41"/>
        <v>#N/A</v>
      </c>
      <c r="K240" s="21" t="str">
        <f t="shared" si="45"/>
        <v/>
      </c>
    </row>
    <row r="241" spans="2:11" x14ac:dyDescent="0.25">
      <c r="B241" s="9" t="e">
        <f t="shared" si="46"/>
        <v>#N/A</v>
      </c>
      <c r="C241" s="10" t="e">
        <f t="shared" si="38"/>
        <v>#N/A</v>
      </c>
      <c r="D241" s="11" t="str">
        <f>IF(ISERROR(B241),"",bsolve($B241,$E$2,$E$4,$E$8,$E$9))</f>
        <v/>
      </c>
      <c r="E241" s="11" t="str">
        <f t="shared" si="39"/>
        <v/>
      </c>
      <c r="F241" s="11" t="str">
        <f t="shared" si="42"/>
        <v/>
      </c>
      <c r="G241" s="11" t="str">
        <f t="shared" si="43"/>
        <v/>
      </c>
      <c r="H241" s="19" t="str">
        <f t="shared" si="40"/>
        <v/>
      </c>
      <c r="I241" s="21">
        <f t="shared" si="44"/>
        <v>0</v>
      </c>
      <c r="J241" s="21" t="e">
        <f t="shared" si="41"/>
        <v>#N/A</v>
      </c>
      <c r="K241" s="21" t="str">
        <f t="shared" si="45"/>
        <v/>
      </c>
    </row>
    <row r="242" spans="2:11" x14ac:dyDescent="0.25">
      <c r="B242" s="9" t="e">
        <f t="shared" si="46"/>
        <v>#N/A</v>
      </c>
      <c r="C242" s="10" t="e">
        <f t="shared" si="38"/>
        <v>#N/A</v>
      </c>
      <c r="D242" s="11" t="str">
        <f>IF(ISERROR(B242),"",bsolve($B242,$E$2,$E$4,$E$8,$E$9))</f>
        <v/>
      </c>
      <c r="E242" s="11" t="str">
        <f t="shared" si="39"/>
        <v/>
      </c>
      <c r="F242" s="11" t="str">
        <f t="shared" si="42"/>
        <v/>
      </c>
      <c r="G242" s="11" t="str">
        <f t="shared" si="43"/>
        <v/>
      </c>
      <c r="H242" s="19" t="str">
        <f t="shared" si="40"/>
        <v/>
      </c>
      <c r="I242" s="21">
        <f t="shared" si="44"/>
        <v>0</v>
      </c>
      <c r="J242" s="21" t="e">
        <f t="shared" si="41"/>
        <v>#N/A</v>
      </c>
      <c r="K242" s="21" t="str">
        <f t="shared" si="45"/>
        <v/>
      </c>
    </row>
    <row r="243" spans="2:11" x14ac:dyDescent="0.25">
      <c r="B243" s="9" t="e">
        <f t="shared" si="46"/>
        <v>#N/A</v>
      </c>
      <c r="C243" s="10" t="e">
        <f t="shared" si="38"/>
        <v>#N/A</v>
      </c>
      <c r="D243" s="11" t="str">
        <f>IF(ISERROR(B243),"",bsolve($B243,$E$2,$E$4,$E$8,$E$9))</f>
        <v/>
      </c>
      <c r="E243" s="11" t="str">
        <f t="shared" si="39"/>
        <v/>
      </c>
      <c r="F243" s="11" t="str">
        <f t="shared" si="42"/>
        <v/>
      </c>
      <c r="G243" s="11" t="str">
        <f t="shared" si="43"/>
        <v/>
      </c>
      <c r="H243" s="19" t="str">
        <f t="shared" si="40"/>
        <v/>
      </c>
      <c r="I243" s="21">
        <f t="shared" si="44"/>
        <v>0</v>
      </c>
      <c r="J243" s="21" t="e">
        <f t="shared" si="41"/>
        <v>#N/A</v>
      </c>
      <c r="K243" s="21" t="str">
        <f t="shared" si="45"/>
        <v/>
      </c>
    </row>
    <row r="244" spans="2:11" x14ac:dyDescent="0.25">
      <c r="B244" s="9" t="e">
        <f t="shared" si="46"/>
        <v>#N/A</v>
      </c>
      <c r="C244" s="10" t="e">
        <f t="shared" si="38"/>
        <v>#N/A</v>
      </c>
      <c r="D244" s="11" t="str">
        <f>IF(ISERROR(B244),"",bsolve($B244,$E$2,$E$4,$E$8,$E$9))</f>
        <v/>
      </c>
      <c r="E244" s="11" t="str">
        <f t="shared" si="39"/>
        <v/>
      </c>
      <c r="F244" s="11" t="str">
        <f t="shared" si="42"/>
        <v/>
      </c>
      <c r="G244" s="11" t="str">
        <f t="shared" si="43"/>
        <v/>
      </c>
      <c r="H244" s="19" t="str">
        <f t="shared" si="40"/>
        <v/>
      </c>
      <c r="I244" s="21">
        <f t="shared" si="44"/>
        <v>0</v>
      </c>
      <c r="J244" s="21" t="e">
        <f t="shared" si="41"/>
        <v>#N/A</v>
      </c>
      <c r="K244" s="21" t="str">
        <f t="shared" si="45"/>
        <v/>
      </c>
    </row>
    <row r="245" spans="2:11" x14ac:dyDescent="0.25">
      <c r="B245" s="9" t="e">
        <f t="shared" si="46"/>
        <v>#N/A</v>
      </c>
      <c r="C245" s="10" t="e">
        <f t="shared" si="38"/>
        <v>#N/A</v>
      </c>
      <c r="D245" s="11" t="str">
        <f>IF(ISERROR(B245),"",bsolve($B245,$E$2,$E$4,$E$8,$E$9))</f>
        <v/>
      </c>
      <c r="E245" s="11" t="str">
        <f t="shared" si="39"/>
        <v/>
      </c>
      <c r="F245" s="11" t="str">
        <f t="shared" si="42"/>
        <v/>
      </c>
      <c r="G245" s="11" t="str">
        <f t="shared" si="43"/>
        <v/>
      </c>
      <c r="H245" s="19" t="str">
        <f t="shared" si="40"/>
        <v/>
      </c>
      <c r="I245" s="21">
        <f t="shared" si="44"/>
        <v>0</v>
      </c>
      <c r="J245" s="21" t="e">
        <f t="shared" si="41"/>
        <v>#N/A</v>
      </c>
      <c r="K245" s="21" t="str">
        <f t="shared" si="45"/>
        <v/>
      </c>
    </row>
    <row r="246" spans="2:11" x14ac:dyDescent="0.25">
      <c r="B246" s="9" t="e">
        <f t="shared" si="46"/>
        <v>#N/A</v>
      </c>
      <c r="C246" s="10" t="e">
        <f t="shared" si="38"/>
        <v>#N/A</v>
      </c>
      <c r="D246" s="11" t="str">
        <f>IF(ISERROR(B246),"",bsolve($B246,$E$2,$E$4,$E$8,$E$9))</f>
        <v/>
      </c>
      <c r="E246" s="11" t="str">
        <f t="shared" si="39"/>
        <v/>
      </c>
      <c r="F246" s="11" t="str">
        <f t="shared" si="42"/>
        <v/>
      </c>
      <c r="G246" s="11" t="str">
        <f t="shared" si="43"/>
        <v/>
      </c>
      <c r="H246" s="19" t="str">
        <f t="shared" si="40"/>
        <v/>
      </c>
      <c r="I246" s="21">
        <f t="shared" si="44"/>
        <v>0</v>
      </c>
      <c r="J246" s="21" t="e">
        <f t="shared" si="41"/>
        <v>#N/A</v>
      </c>
      <c r="K246" s="21" t="str">
        <f t="shared" si="45"/>
        <v/>
      </c>
    </row>
    <row r="247" spans="2:11" x14ac:dyDescent="0.25">
      <c r="B247" s="9" t="e">
        <f t="shared" si="46"/>
        <v>#N/A</v>
      </c>
      <c r="C247" s="10" t="e">
        <f t="shared" si="38"/>
        <v>#N/A</v>
      </c>
      <c r="D247" s="11" t="str">
        <f>IF(ISERROR(B247),"",bsolve($B247,$E$2,$E$4,$E$8,$E$9))</f>
        <v/>
      </c>
      <c r="E247" s="11" t="str">
        <f t="shared" si="39"/>
        <v/>
      </c>
      <c r="F247" s="11" t="str">
        <f t="shared" si="42"/>
        <v/>
      </c>
      <c r="G247" s="11" t="str">
        <f t="shared" si="43"/>
        <v/>
      </c>
      <c r="H247" s="19" t="str">
        <f t="shared" si="40"/>
        <v/>
      </c>
      <c r="I247" s="21">
        <f t="shared" si="44"/>
        <v>0</v>
      </c>
      <c r="J247" s="21" t="e">
        <f t="shared" si="41"/>
        <v>#N/A</v>
      </c>
      <c r="K247" s="21" t="str">
        <f t="shared" si="45"/>
        <v/>
      </c>
    </row>
    <row r="248" spans="2:11" x14ac:dyDescent="0.25">
      <c r="B248" s="9" t="e">
        <f t="shared" si="46"/>
        <v>#N/A</v>
      </c>
      <c r="C248" s="10" t="e">
        <f t="shared" si="38"/>
        <v>#N/A</v>
      </c>
      <c r="D248" s="11" t="str">
        <f>IF(ISERROR(B248),"",bsolve($B248,$E$2,$E$4,$E$8,$E$9))</f>
        <v/>
      </c>
      <c r="E248" s="11" t="str">
        <f t="shared" si="39"/>
        <v/>
      </c>
      <c r="F248" s="11" t="str">
        <f t="shared" si="42"/>
        <v/>
      </c>
      <c r="G248" s="11" t="str">
        <f t="shared" si="43"/>
        <v/>
      </c>
      <c r="H248" s="19" t="str">
        <f t="shared" si="40"/>
        <v/>
      </c>
      <c r="I248" s="21">
        <f t="shared" si="44"/>
        <v>0</v>
      </c>
      <c r="J248" s="21" t="e">
        <f t="shared" si="41"/>
        <v>#N/A</v>
      </c>
      <c r="K248" s="21" t="str">
        <f t="shared" si="45"/>
        <v/>
      </c>
    </row>
    <row r="249" spans="2:11" x14ac:dyDescent="0.25">
      <c r="B249" s="9" t="e">
        <f t="shared" si="46"/>
        <v>#N/A</v>
      </c>
      <c r="C249" s="10" t="e">
        <f t="shared" si="38"/>
        <v>#N/A</v>
      </c>
      <c r="D249" s="11" t="str">
        <f>IF(ISERROR(B249),"",bsolve($B249,$E$2,$E$4,$E$8,$E$9))</f>
        <v/>
      </c>
      <c r="E249" s="11" t="str">
        <f t="shared" si="39"/>
        <v/>
      </c>
      <c r="F249" s="11" t="str">
        <f t="shared" si="42"/>
        <v/>
      </c>
      <c r="G249" s="11" t="str">
        <f t="shared" si="43"/>
        <v/>
      </c>
      <c r="H249" s="19" t="str">
        <f t="shared" si="40"/>
        <v/>
      </c>
      <c r="I249" s="21">
        <f t="shared" si="44"/>
        <v>0</v>
      </c>
      <c r="J249" s="21" t="e">
        <f t="shared" si="41"/>
        <v>#N/A</v>
      </c>
      <c r="K249" s="21" t="str">
        <f t="shared" si="45"/>
        <v/>
      </c>
    </row>
    <row r="250" spans="2:11" x14ac:dyDescent="0.25">
      <c r="B250" s="9" t="e">
        <f t="shared" si="46"/>
        <v>#N/A</v>
      </c>
      <c r="C250" s="10" t="e">
        <f t="shared" si="38"/>
        <v>#N/A</v>
      </c>
      <c r="D250" s="11" t="str">
        <f>IF(ISERROR(B250),"",bsolve($B250,$E$2,$E$4,$E$8,$E$9))</f>
        <v/>
      </c>
      <c r="E250" s="11" t="str">
        <f t="shared" si="39"/>
        <v/>
      </c>
      <c r="F250" s="11" t="str">
        <f t="shared" si="42"/>
        <v/>
      </c>
      <c r="G250" s="11" t="str">
        <f t="shared" si="43"/>
        <v/>
      </c>
      <c r="H250" s="19" t="str">
        <f t="shared" si="40"/>
        <v/>
      </c>
      <c r="I250" s="21">
        <f t="shared" si="44"/>
        <v>0</v>
      </c>
      <c r="J250" s="21" t="e">
        <f t="shared" si="41"/>
        <v>#N/A</v>
      </c>
      <c r="K250" s="21" t="str">
        <f t="shared" si="45"/>
        <v/>
      </c>
    </row>
    <row r="251" spans="2:11" x14ac:dyDescent="0.25">
      <c r="B251" s="9" t="e">
        <f t="shared" si="46"/>
        <v>#N/A</v>
      </c>
      <c r="C251" s="10" t="e">
        <f t="shared" si="38"/>
        <v>#N/A</v>
      </c>
      <c r="D251" s="11" t="str">
        <f>IF(ISERROR(B251),"",bsolve($B251,$E$2,$E$4,$E$8,$E$9))</f>
        <v/>
      </c>
      <c r="E251" s="11" t="str">
        <f t="shared" si="39"/>
        <v/>
      </c>
      <c r="F251" s="11" t="str">
        <f t="shared" si="42"/>
        <v/>
      </c>
      <c r="G251" s="11" t="str">
        <f t="shared" si="43"/>
        <v/>
      </c>
      <c r="H251" s="19" t="str">
        <f t="shared" si="40"/>
        <v/>
      </c>
      <c r="I251" s="21">
        <f t="shared" si="44"/>
        <v>0</v>
      </c>
      <c r="J251" s="21" t="e">
        <f t="shared" si="41"/>
        <v>#N/A</v>
      </c>
      <c r="K251" s="21" t="str">
        <f t="shared" si="45"/>
        <v/>
      </c>
    </row>
    <row r="252" spans="2:11" x14ac:dyDescent="0.25">
      <c r="B252" s="9" t="e">
        <f t="shared" si="46"/>
        <v>#N/A</v>
      </c>
      <c r="C252" s="10" t="e">
        <f t="shared" si="38"/>
        <v>#N/A</v>
      </c>
      <c r="D252" s="11" t="str">
        <f>IF(ISERROR(B252),"",bsolve($B252,$E$2,$E$4,$E$8,$E$9))</f>
        <v/>
      </c>
      <c r="E252" s="11" t="str">
        <f t="shared" si="39"/>
        <v/>
      </c>
      <c r="F252" s="11" t="str">
        <f t="shared" si="42"/>
        <v/>
      </c>
      <c r="G252" s="11" t="str">
        <f t="shared" si="43"/>
        <v/>
      </c>
      <c r="H252" s="19" t="str">
        <f t="shared" si="40"/>
        <v/>
      </c>
      <c r="I252" s="21">
        <f t="shared" si="44"/>
        <v>0</v>
      </c>
      <c r="J252" s="21" t="e">
        <f t="shared" si="41"/>
        <v>#N/A</v>
      </c>
      <c r="K252" s="21" t="str">
        <f t="shared" si="45"/>
        <v/>
      </c>
    </row>
    <row r="253" spans="2:11" x14ac:dyDescent="0.25">
      <c r="B253" s="9" t="e">
        <f t="shared" si="46"/>
        <v>#N/A</v>
      </c>
      <c r="C253" s="10" t="e">
        <f t="shared" si="38"/>
        <v>#N/A</v>
      </c>
      <c r="D253" s="11" t="str">
        <f>IF(ISERROR(B253),"",bsolve($B253,$E$2,$E$4,$E$8,$E$9))</f>
        <v/>
      </c>
      <c r="E253" s="11" t="str">
        <f t="shared" si="39"/>
        <v/>
      </c>
      <c r="F253" s="11" t="str">
        <f t="shared" si="42"/>
        <v/>
      </c>
      <c r="G253" s="11" t="str">
        <f t="shared" si="43"/>
        <v/>
      </c>
      <c r="H253" s="19" t="str">
        <f t="shared" si="40"/>
        <v/>
      </c>
      <c r="I253" s="21">
        <f t="shared" si="44"/>
        <v>0</v>
      </c>
      <c r="J253" s="21" t="e">
        <f t="shared" si="41"/>
        <v>#N/A</v>
      </c>
      <c r="K253" s="21" t="str">
        <f t="shared" si="45"/>
        <v/>
      </c>
    </row>
    <row r="254" spans="2:11" x14ac:dyDescent="0.25">
      <c r="B254" s="9" t="e">
        <f t="shared" si="46"/>
        <v>#N/A</v>
      </c>
      <c r="C254" s="10" t="e">
        <f t="shared" si="38"/>
        <v>#N/A</v>
      </c>
      <c r="D254" s="11" t="str">
        <f>IF(ISERROR(B254),"",bsolve($B254,$E$2,$E$4,$E$8,$E$9))</f>
        <v/>
      </c>
      <c r="E254" s="11" t="str">
        <f t="shared" si="39"/>
        <v/>
      </c>
      <c r="F254" s="11" t="str">
        <f t="shared" si="42"/>
        <v/>
      </c>
      <c r="G254" s="11" t="str">
        <f t="shared" si="43"/>
        <v/>
      </c>
      <c r="H254" s="19" t="str">
        <f t="shared" si="40"/>
        <v/>
      </c>
      <c r="I254" s="21">
        <f t="shared" si="44"/>
        <v>0</v>
      </c>
      <c r="J254" s="21" t="e">
        <f t="shared" si="41"/>
        <v>#N/A</v>
      </c>
      <c r="K254" s="21" t="str">
        <f t="shared" si="45"/>
        <v/>
      </c>
    </row>
    <row r="255" spans="2:11" x14ac:dyDescent="0.25">
      <c r="B255" s="9" t="e">
        <f t="shared" si="46"/>
        <v>#N/A</v>
      </c>
      <c r="C255" s="10" t="e">
        <f t="shared" si="38"/>
        <v>#N/A</v>
      </c>
      <c r="D255" s="11" t="str">
        <f>IF(ISERROR(B255),"",bsolve($B255,$E$2,$E$4,$E$8,$E$9))</f>
        <v/>
      </c>
      <c r="E255" s="11" t="str">
        <f t="shared" si="39"/>
        <v/>
      </c>
      <c r="F255" s="11" t="str">
        <f t="shared" si="42"/>
        <v/>
      </c>
      <c r="G255" s="11" t="str">
        <f t="shared" si="43"/>
        <v/>
      </c>
      <c r="H255" s="19" t="str">
        <f t="shared" si="40"/>
        <v/>
      </c>
      <c r="I255" s="21">
        <f t="shared" si="44"/>
        <v>0</v>
      </c>
      <c r="J255" s="21" t="e">
        <f t="shared" si="41"/>
        <v>#N/A</v>
      </c>
      <c r="K255" s="21" t="str">
        <f t="shared" si="45"/>
        <v/>
      </c>
    </row>
    <row r="256" spans="2:11" x14ac:dyDescent="0.25">
      <c r="B256" s="9" t="e">
        <f t="shared" si="46"/>
        <v>#N/A</v>
      </c>
      <c r="C256" s="10" t="e">
        <f t="shared" si="38"/>
        <v>#N/A</v>
      </c>
      <c r="D256" s="11" t="str">
        <f>IF(ISERROR(B256),"",bsolve($B256,$E$2,$E$4,$E$8,$E$9))</f>
        <v/>
      </c>
      <c r="E256" s="11" t="str">
        <f t="shared" si="39"/>
        <v/>
      </c>
      <c r="F256" s="11" t="str">
        <f t="shared" si="42"/>
        <v/>
      </c>
      <c r="G256" s="11" t="str">
        <f t="shared" si="43"/>
        <v/>
      </c>
      <c r="H256" s="19" t="str">
        <f t="shared" si="40"/>
        <v/>
      </c>
      <c r="I256" s="21">
        <f t="shared" si="44"/>
        <v>0</v>
      </c>
      <c r="J256" s="21" t="e">
        <f t="shared" si="41"/>
        <v>#N/A</v>
      </c>
      <c r="K256" s="21" t="str">
        <f t="shared" si="45"/>
        <v/>
      </c>
    </row>
    <row r="257" spans="2:11" x14ac:dyDescent="0.25">
      <c r="B257" s="9" t="e">
        <f t="shared" si="46"/>
        <v>#N/A</v>
      </c>
      <c r="C257" s="10" t="e">
        <f t="shared" si="38"/>
        <v>#N/A</v>
      </c>
      <c r="D257" s="11" t="str">
        <f>IF(ISERROR(B257),"",bsolve($B257,$E$2,$E$4,$E$8,$E$9))</f>
        <v/>
      </c>
      <c r="E257" s="11" t="str">
        <f t="shared" si="39"/>
        <v/>
      </c>
      <c r="F257" s="11" t="str">
        <f t="shared" si="42"/>
        <v/>
      </c>
      <c r="G257" s="11" t="str">
        <f t="shared" si="43"/>
        <v/>
      </c>
      <c r="H257" s="19" t="str">
        <f t="shared" si="40"/>
        <v/>
      </c>
      <c r="I257" s="21">
        <f t="shared" si="44"/>
        <v>0</v>
      </c>
      <c r="J257" s="21" t="e">
        <f t="shared" si="41"/>
        <v>#N/A</v>
      </c>
      <c r="K257" s="21" t="str">
        <f t="shared" si="45"/>
        <v/>
      </c>
    </row>
    <row r="258" spans="2:11" x14ac:dyDescent="0.25">
      <c r="B258" s="9" t="e">
        <f t="shared" si="46"/>
        <v>#N/A</v>
      </c>
      <c r="C258" s="10" t="e">
        <f t="shared" si="38"/>
        <v>#N/A</v>
      </c>
      <c r="D258" s="11" t="str">
        <f>IF(ISERROR(B258),"",bsolve($B258,$E$2,$E$4,$E$8,$E$9))</f>
        <v/>
      </c>
      <c r="E258" s="11" t="str">
        <f t="shared" si="39"/>
        <v/>
      </c>
      <c r="F258" s="11" t="str">
        <f t="shared" si="42"/>
        <v/>
      </c>
      <c r="G258" s="11" t="str">
        <f t="shared" si="43"/>
        <v/>
      </c>
      <c r="H258" s="19" t="str">
        <f t="shared" si="40"/>
        <v/>
      </c>
      <c r="I258" s="21">
        <f t="shared" si="44"/>
        <v>0</v>
      </c>
      <c r="J258" s="21" t="e">
        <f t="shared" si="41"/>
        <v>#N/A</v>
      </c>
      <c r="K258" s="21" t="str">
        <f t="shared" si="45"/>
        <v/>
      </c>
    </row>
    <row r="259" spans="2:11" x14ac:dyDescent="0.25">
      <c r="B259" s="9" t="e">
        <f t="shared" si="46"/>
        <v>#N/A</v>
      </c>
      <c r="C259" s="10" t="e">
        <f t="shared" si="38"/>
        <v>#N/A</v>
      </c>
      <c r="D259" s="11" t="str">
        <f>IF(ISERROR(B259),"",bsolve($B259,$E$2,$E$4,$E$8,$E$9))</f>
        <v/>
      </c>
      <c r="E259" s="11" t="str">
        <f t="shared" si="39"/>
        <v/>
      </c>
      <c r="F259" s="11" t="str">
        <f t="shared" si="42"/>
        <v/>
      </c>
      <c r="G259" s="11" t="str">
        <f t="shared" si="43"/>
        <v/>
      </c>
      <c r="H259" s="19" t="str">
        <f t="shared" si="40"/>
        <v/>
      </c>
      <c r="I259" s="21">
        <f t="shared" si="44"/>
        <v>0</v>
      </c>
      <c r="J259" s="21" t="e">
        <f t="shared" si="41"/>
        <v>#N/A</v>
      </c>
      <c r="K259" s="21" t="str">
        <f t="shared" si="45"/>
        <v/>
      </c>
    </row>
    <row r="260" spans="2:11" x14ac:dyDescent="0.25">
      <c r="B260" s="9" t="e">
        <f t="shared" si="46"/>
        <v>#N/A</v>
      </c>
      <c r="C260" s="10" t="e">
        <f t="shared" si="38"/>
        <v>#N/A</v>
      </c>
      <c r="D260" s="11" t="str">
        <f>IF(ISERROR(B260),"",bsolve($B260,$E$2,$E$4,$E$8,$E$9))</f>
        <v/>
      </c>
      <c r="E260" s="11" t="str">
        <f t="shared" si="39"/>
        <v/>
      </c>
      <c r="F260" s="11" t="str">
        <f t="shared" si="42"/>
        <v/>
      </c>
      <c r="G260" s="11" t="str">
        <f t="shared" si="43"/>
        <v/>
      </c>
      <c r="H260" s="19" t="str">
        <f t="shared" si="40"/>
        <v/>
      </c>
      <c r="I260" s="21">
        <f t="shared" si="44"/>
        <v>0</v>
      </c>
      <c r="J260" s="21" t="e">
        <f t="shared" si="41"/>
        <v>#N/A</v>
      </c>
      <c r="K260" s="21" t="str">
        <f t="shared" si="45"/>
        <v/>
      </c>
    </row>
    <row r="261" spans="2:11" x14ac:dyDescent="0.25">
      <c r="B261" s="9" t="e">
        <f t="shared" si="46"/>
        <v>#N/A</v>
      </c>
      <c r="C261" s="10" t="e">
        <f t="shared" si="38"/>
        <v>#N/A</v>
      </c>
      <c r="D261" s="11" t="str">
        <f>IF(ISERROR(B261),"",bsolve($B261,$E$2,$E$4,$E$8,$E$9))</f>
        <v/>
      </c>
      <c r="E261" s="11" t="str">
        <f t="shared" si="39"/>
        <v/>
      </c>
      <c r="F261" s="11" t="str">
        <f t="shared" si="42"/>
        <v/>
      </c>
      <c r="G261" s="11" t="str">
        <f t="shared" si="43"/>
        <v/>
      </c>
      <c r="H261" s="19" t="str">
        <f t="shared" si="40"/>
        <v/>
      </c>
      <c r="I261" s="21">
        <f t="shared" si="44"/>
        <v>0</v>
      </c>
      <c r="J261" s="21" t="e">
        <f t="shared" si="41"/>
        <v>#N/A</v>
      </c>
      <c r="K261" s="21" t="str">
        <f t="shared" si="45"/>
        <v/>
      </c>
    </row>
    <row r="262" spans="2:11" x14ac:dyDescent="0.25">
      <c r="B262" s="9" t="e">
        <f t="shared" si="46"/>
        <v>#N/A</v>
      </c>
      <c r="C262" s="10" t="e">
        <f t="shared" si="38"/>
        <v>#N/A</v>
      </c>
      <c r="D262" s="11" t="str">
        <f>IF(ISERROR(B262),"",bsolve($B262,$E$2,$E$4,$E$8,$E$9))</f>
        <v/>
      </c>
      <c r="E262" s="11" t="str">
        <f t="shared" si="39"/>
        <v/>
      </c>
      <c r="F262" s="11" t="str">
        <f t="shared" si="42"/>
        <v/>
      </c>
      <c r="G262" s="11" t="str">
        <f t="shared" si="43"/>
        <v/>
      </c>
      <c r="H262" s="19" t="str">
        <f t="shared" si="40"/>
        <v/>
      </c>
      <c r="I262" s="21">
        <f t="shared" si="44"/>
        <v>0</v>
      </c>
      <c r="J262" s="21" t="e">
        <f t="shared" si="41"/>
        <v>#N/A</v>
      </c>
      <c r="K262" s="21" t="str">
        <f t="shared" si="45"/>
        <v/>
      </c>
    </row>
    <row r="263" spans="2:11" x14ac:dyDescent="0.25">
      <c r="B263" s="9" t="e">
        <f t="shared" si="46"/>
        <v>#N/A</v>
      </c>
      <c r="C263" s="10" t="e">
        <f t="shared" si="38"/>
        <v>#N/A</v>
      </c>
      <c r="D263" s="11" t="str">
        <f>IF(ISERROR(B263),"",bsolve($B263,$E$2,$E$4,$E$8,$E$9))</f>
        <v/>
      </c>
      <c r="E263" s="11" t="str">
        <f t="shared" si="39"/>
        <v/>
      </c>
      <c r="F263" s="11" t="str">
        <f t="shared" si="42"/>
        <v/>
      </c>
      <c r="G263" s="11" t="str">
        <f t="shared" si="43"/>
        <v/>
      </c>
      <c r="H263" s="19" t="str">
        <f t="shared" si="40"/>
        <v/>
      </c>
      <c r="I263" s="21">
        <f t="shared" si="44"/>
        <v>0</v>
      </c>
      <c r="J263" s="21" t="e">
        <f t="shared" si="41"/>
        <v>#N/A</v>
      </c>
      <c r="K263" s="21" t="str">
        <f t="shared" si="45"/>
        <v/>
      </c>
    </row>
    <row r="264" spans="2:11" x14ac:dyDescent="0.25">
      <c r="B264" s="9" t="e">
        <f t="shared" si="46"/>
        <v>#N/A</v>
      </c>
      <c r="C264" s="10" t="e">
        <f t="shared" si="38"/>
        <v>#N/A</v>
      </c>
      <c r="D264" s="11" t="str">
        <f>IF(ISERROR(B264),"",bsolve($B264,$E$2,$E$4,$E$8,$E$9))</f>
        <v/>
      </c>
      <c r="E264" s="11" t="str">
        <f t="shared" si="39"/>
        <v/>
      </c>
      <c r="F264" s="11" t="str">
        <f t="shared" si="42"/>
        <v/>
      </c>
      <c r="G264" s="11" t="str">
        <f t="shared" si="43"/>
        <v/>
      </c>
      <c r="H264" s="19" t="str">
        <f t="shared" si="40"/>
        <v/>
      </c>
      <c r="I264" s="21">
        <f t="shared" si="44"/>
        <v>0</v>
      </c>
      <c r="J264" s="21" t="e">
        <f t="shared" si="41"/>
        <v>#N/A</v>
      </c>
      <c r="K264" s="21" t="str">
        <f t="shared" si="45"/>
        <v/>
      </c>
    </row>
    <row r="265" spans="2:11" x14ac:dyDescent="0.25">
      <c r="B265" s="9" t="e">
        <f t="shared" si="46"/>
        <v>#N/A</v>
      </c>
      <c r="C265" s="10" t="e">
        <f t="shared" si="38"/>
        <v>#N/A</v>
      </c>
      <c r="D265" s="11" t="str">
        <f>IF(ISERROR(B265),"",bsolve($B265,$E$2,$E$4,$E$8,$E$9))</f>
        <v/>
      </c>
      <c r="E265" s="11" t="str">
        <f t="shared" si="39"/>
        <v/>
      </c>
      <c r="F265" s="11" t="str">
        <f t="shared" si="42"/>
        <v/>
      </c>
      <c r="G265" s="11" t="str">
        <f t="shared" si="43"/>
        <v/>
      </c>
      <c r="H265" s="19" t="str">
        <f t="shared" si="40"/>
        <v/>
      </c>
      <c r="I265" s="21">
        <f t="shared" si="44"/>
        <v>0</v>
      </c>
      <c r="J265" s="21" t="e">
        <f t="shared" si="41"/>
        <v>#N/A</v>
      </c>
      <c r="K265" s="21" t="str">
        <f t="shared" si="45"/>
        <v/>
      </c>
    </row>
    <row r="266" spans="2:11" x14ac:dyDescent="0.25">
      <c r="B266" s="9" t="e">
        <f t="shared" si="46"/>
        <v>#N/A</v>
      </c>
      <c r="C266" s="10" t="e">
        <f t="shared" si="38"/>
        <v>#N/A</v>
      </c>
      <c r="D266" s="11" t="str">
        <f>IF(ISERROR(B266),"",bsolve($B266,$E$2,$E$4,$E$8,$E$9))</f>
        <v/>
      </c>
      <c r="E266" s="11" t="str">
        <f t="shared" si="39"/>
        <v/>
      </c>
      <c r="F266" s="11" t="str">
        <f t="shared" si="42"/>
        <v/>
      </c>
      <c r="G266" s="11" t="str">
        <f t="shared" si="43"/>
        <v/>
      </c>
      <c r="H266" s="19" t="str">
        <f t="shared" si="40"/>
        <v/>
      </c>
      <c r="I266" s="21">
        <f t="shared" si="44"/>
        <v>0</v>
      </c>
      <c r="J266" s="21" t="e">
        <f t="shared" si="41"/>
        <v>#N/A</v>
      </c>
      <c r="K266" s="21" t="str">
        <f t="shared" si="45"/>
        <v/>
      </c>
    </row>
    <row r="267" spans="2:11" x14ac:dyDescent="0.25">
      <c r="B267" s="9" t="e">
        <f t="shared" si="46"/>
        <v>#N/A</v>
      </c>
      <c r="C267" s="10" t="e">
        <f t="shared" si="38"/>
        <v>#N/A</v>
      </c>
      <c r="D267" s="11" t="str">
        <f>IF(ISERROR(B267),"",bsolve($B267,$E$2,$E$4,$E$8,$E$9))</f>
        <v/>
      </c>
      <c r="E267" s="11" t="str">
        <f t="shared" si="39"/>
        <v/>
      </c>
      <c r="F267" s="11" t="str">
        <f t="shared" si="42"/>
        <v/>
      </c>
      <c r="G267" s="11" t="str">
        <f t="shared" si="43"/>
        <v/>
      </c>
      <c r="H267" s="19" t="str">
        <f t="shared" si="40"/>
        <v/>
      </c>
      <c r="I267" s="21">
        <f t="shared" si="44"/>
        <v>0</v>
      </c>
      <c r="J267" s="21" t="e">
        <f t="shared" si="41"/>
        <v>#N/A</v>
      </c>
      <c r="K267" s="21" t="str">
        <f t="shared" si="45"/>
        <v/>
      </c>
    </row>
    <row r="268" spans="2:11" x14ac:dyDescent="0.25">
      <c r="B268" s="9" t="e">
        <f t="shared" si="46"/>
        <v>#N/A</v>
      </c>
      <c r="C268" s="10" t="e">
        <f t="shared" si="38"/>
        <v>#N/A</v>
      </c>
      <c r="D268" s="11" t="str">
        <f>IF(ISERROR(B268),"",bsolve($B268,$E$2,$E$4,$E$8,$E$9))</f>
        <v/>
      </c>
      <c r="E268" s="11" t="str">
        <f t="shared" si="39"/>
        <v/>
      </c>
      <c r="F268" s="11" t="str">
        <f t="shared" si="42"/>
        <v/>
      </c>
      <c r="G268" s="11" t="str">
        <f t="shared" si="43"/>
        <v/>
      </c>
      <c r="H268" s="19" t="str">
        <f t="shared" si="40"/>
        <v/>
      </c>
      <c r="I268" s="21">
        <f t="shared" si="44"/>
        <v>0</v>
      </c>
      <c r="J268" s="21" t="e">
        <f t="shared" si="41"/>
        <v>#N/A</v>
      </c>
      <c r="K268" s="21" t="str">
        <f t="shared" si="45"/>
        <v/>
      </c>
    </row>
    <row r="269" spans="2:11" x14ac:dyDescent="0.25">
      <c r="B269" s="9" t="e">
        <f t="shared" si="46"/>
        <v>#N/A</v>
      </c>
      <c r="C269" s="10" t="e">
        <f t="shared" si="38"/>
        <v>#N/A</v>
      </c>
      <c r="D269" s="11" t="str">
        <f>IF(ISERROR(B269),"",bsolve($B269,$E$2,$E$4,$E$8,$E$9))</f>
        <v/>
      </c>
      <c r="E269" s="11" t="str">
        <f t="shared" si="39"/>
        <v/>
      </c>
      <c r="F269" s="11" t="str">
        <f t="shared" si="42"/>
        <v/>
      </c>
      <c r="G269" s="11" t="str">
        <f t="shared" si="43"/>
        <v/>
      </c>
      <c r="H269" s="19" t="str">
        <f t="shared" si="40"/>
        <v/>
      </c>
      <c r="I269" s="21">
        <f t="shared" si="44"/>
        <v>0</v>
      </c>
      <c r="J269" s="21" t="e">
        <f t="shared" si="41"/>
        <v>#N/A</v>
      </c>
      <c r="K269" s="21" t="str">
        <f t="shared" si="45"/>
        <v/>
      </c>
    </row>
    <row r="270" spans="2:11" x14ac:dyDescent="0.25">
      <c r="B270" s="9" t="e">
        <f t="shared" si="46"/>
        <v>#N/A</v>
      </c>
      <c r="C270" s="10" t="e">
        <f t="shared" si="38"/>
        <v>#N/A</v>
      </c>
      <c r="D270" s="11" t="str">
        <f>IF(ISERROR(B270),"",bsolve($B270,$E$2,$E$4,$E$8,$E$9))</f>
        <v/>
      </c>
      <c r="E270" s="11" t="str">
        <f t="shared" si="39"/>
        <v/>
      </c>
      <c r="F270" s="11" t="str">
        <f t="shared" si="42"/>
        <v/>
      </c>
      <c r="G270" s="11" t="str">
        <f t="shared" si="43"/>
        <v/>
      </c>
      <c r="H270" s="19" t="str">
        <f t="shared" si="40"/>
        <v/>
      </c>
      <c r="I270" s="21">
        <f t="shared" si="44"/>
        <v>0</v>
      </c>
      <c r="J270" s="21" t="e">
        <f t="shared" si="41"/>
        <v>#N/A</v>
      </c>
      <c r="K270" s="21" t="str">
        <f t="shared" si="45"/>
        <v/>
      </c>
    </row>
    <row r="271" spans="2:11" x14ac:dyDescent="0.25">
      <c r="B271" s="9" t="e">
        <f t="shared" si="46"/>
        <v>#N/A</v>
      </c>
      <c r="C271" s="10" t="e">
        <f t="shared" si="38"/>
        <v>#N/A</v>
      </c>
      <c r="D271" s="11" t="str">
        <f>IF(ISERROR(B271),"",bsolve($B271,$E$2,$E$4,$E$8,$E$9))</f>
        <v/>
      </c>
      <c r="E271" s="11" t="str">
        <f t="shared" si="39"/>
        <v/>
      </c>
      <c r="F271" s="11" t="str">
        <f t="shared" si="42"/>
        <v/>
      </c>
      <c r="G271" s="11" t="str">
        <f t="shared" si="43"/>
        <v/>
      </c>
      <c r="H271" s="19" t="str">
        <f t="shared" si="40"/>
        <v/>
      </c>
      <c r="I271" s="21">
        <f t="shared" si="44"/>
        <v>0</v>
      </c>
      <c r="J271" s="21" t="e">
        <f t="shared" si="41"/>
        <v>#N/A</v>
      </c>
      <c r="K271" s="21" t="str">
        <f t="shared" si="45"/>
        <v/>
      </c>
    </row>
    <row r="272" spans="2:11" x14ac:dyDescent="0.25">
      <c r="B272" s="9" t="e">
        <f t="shared" si="46"/>
        <v>#N/A</v>
      </c>
      <c r="C272" s="10" t="e">
        <f t="shared" si="38"/>
        <v>#N/A</v>
      </c>
      <c r="D272" s="11" t="str">
        <f>IF(ISERROR(B272),"",bsolve($B272,$E$2,$E$4,$E$8,$E$9))</f>
        <v/>
      </c>
      <c r="E272" s="11" t="str">
        <f t="shared" si="39"/>
        <v/>
      </c>
      <c r="F272" s="11" t="str">
        <f t="shared" si="42"/>
        <v/>
      </c>
      <c r="G272" s="11" t="str">
        <f t="shared" si="43"/>
        <v/>
      </c>
      <c r="H272" s="19" t="str">
        <f t="shared" si="40"/>
        <v/>
      </c>
      <c r="I272" s="21">
        <f t="shared" si="44"/>
        <v>0</v>
      </c>
      <c r="J272" s="21" t="e">
        <f t="shared" si="41"/>
        <v>#N/A</v>
      </c>
      <c r="K272" s="21" t="str">
        <f t="shared" si="45"/>
        <v/>
      </c>
    </row>
    <row r="273" spans="2:11" x14ac:dyDescent="0.25">
      <c r="B273" s="9" t="e">
        <f t="shared" si="46"/>
        <v>#N/A</v>
      </c>
      <c r="C273" s="10" t="e">
        <f t="shared" si="38"/>
        <v>#N/A</v>
      </c>
      <c r="D273" s="11" t="str">
        <f>IF(ISERROR(B273),"",bsolve($B273,$E$2,$E$4,$E$8,$E$9))</f>
        <v/>
      </c>
      <c r="E273" s="11" t="str">
        <f t="shared" si="39"/>
        <v/>
      </c>
      <c r="F273" s="11" t="str">
        <f t="shared" si="42"/>
        <v/>
      </c>
      <c r="G273" s="11" t="str">
        <f t="shared" si="43"/>
        <v/>
      </c>
      <c r="H273" s="19" t="str">
        <f t="shared" si="40"/>
        <v/>
      </c>
      <c r="I273" s="21">
        <f t="shared" si="44"/>
        <v>0</v>
      </c>
      <c r="J273" s="21" t="e">
        <f t="shared" si="41"/>
        <v>#N/A</v>
      </c>
      <c r="K273" s="21" t="str">
        <f t="shared" si="45"/>
        <v/>
      </c>
    </row>
    <row r="274" spans="2:11" x14ac:dyDescent="0.25">
      <c r="B274" s="9" t="e">
        <f t="shared" si="46"/>
        <v>#N/A</v>
      </c>
      <c r="C274" s="10" t="e">
        <f t="shared" ref="C274:C337" si="47">IF(B274="","",100*B274/$E$2)</f>
        <v>#N/A</v>
      </c>
      <c r="D274" s="11" t="str">
        <f>IF(ISERROR(B274),"",bsolve($B274,$E$2,$E$4,$E$8,$E$9))</f>
        <v/>
      </c>
      <c r="E274" s="11" t="str">
        <f t="shared" ref="E274:E337" si="48">IF(ISERROR(B274),"",IF(AND($E$7&lt;$E$5,C274&gt;=($E$5*100)),D274,0))</f>
        <v/>
      </c>
      <c r="F274" s="11" t="str">
        <f t="shared" si="42"/>
        <v/>
      </c>
      <c r="G274" s="11" t="str">
        <f t="shared" si="43"/>
        <v/>
      </c>
      <c r="H274" s="19" t="str">
        <f t="shared" ref="H274:H337" si="49">IF(ISERROR(B274),"",100*((B274*(1-$E$9))+($E$2-B274)*$E$8)/$E$2)</f>
        <v/>
      </c>
      <c r="I274" s="21">
        <f t="shared" si="44"/>
        <v>0</v>
      </c>
      <c r="J274" s="21" t="e">
        <f t="shared" ref="J274:J337" si="50">IF(ISERROR(B274),NA(),IF(AND(H274&gt;=$E$5*100,B274/$E$2&lt;$E$5),H274,NA()))</f>
        <v>#N/A</v>
      </c>
      <c r="K274" s="21" t="str">
        <f t="shared" si="45"/>
        <v/>
      </c>
    </row>
    <row r="275" spans="2:11" x14ac:dyDescent="0.25">
      <c r="B275" s="9" t="e">
        <f t="shared" si="46"/>
        <v>#N/A</v>
      </c>
      <c r="C275" s="10" t="e">
        <f t="shared" si="47"/>
        <v>#N/A</v>
      </c>
      <c r="D275" s="11" t="str">
        <f>IF(ISERROR(B275),"",bsolve($B275,$E$2,$E$4,$E$8,$E$9))</f>
        <v/>
      </c>
      <c r="E275" s="11" t="str">
        <f t="shared" si="48"/>
        <v/>
      </c>
      <c r="F275" s="11" t="str">
        <f t="shared" ref="F275:F338" si="51">IF(ISERROR(B275),"",IF(AND($E$7&gt;=$E$5,C275&lt;($E$5*100)),D275,0))</f>
        <v/>
      </c>
      <c r="G275" s="11" t="str">
        <f t="shared" ref="G275:G338" si="52">IF(ISERROR(B275),"",IF(C275&gt;=$E$5*100,D275,""))</f>
        <v/>
      </c>
      <c r="H275" s="19" t="str">
        <f t="shared" si="49"/>
        <v/>
      </c>
      <c r="I275" s="21">
        <f t="shared" ref="I275:I338" si="53">IF(NOT(ISERROR(J275)),B275,0)</f>
        <v>0</v>
      </c>
      <c r="J275" s="21" t="e">
        <f t="shared" si="50"/>
        <v>#N/A</v>
      </c>
      <c r="K275" s="21" t="str">
        <f t="shared" ref="K275:K338" si="54">IF(AND(I275=0,I276&gt;0),B275,"")</f>
        <v/>
      </c>
    </row>
    <row r="276" spans="2:11" x14ac:dyDescent="0.25">
      <c r="B276" s="9" t="e">
        <f t="shared" ref="B276:B339" si="55">IF(ROW()-18&lt;=$E$2,B275+1,NA())</f>
        <v>#N/A</v>
      </c>
      <c r="C276" s="10" t="e">
        <f t="shared" si="47"/>
        <v>#N/A</v>
      </c>
      <c r="D276" s="11" t="str">
        <f>IF(ISERROR(B276),"",bsolve($B276,$E$2,$E$4,$E$8,$E$9))</f>
        <v/>
      </c>
      <c r="E276" s="11" t="str">
        <f t="shared" si="48"/>
        <v/>
      </c>
      <c r="F276" s="11" t="str">
        <f t="shared" si="51"/>
        <v/>
      </c>
      <c r="G276" s="11" t="str">
        <f t="shared" si="52"/>
        <v/>
      </c>
      <c r="H276" s="19" t="str">
        <f t="shared" si="49"/>
        <v/>
      </c>
      <c r="I276" s="21">
        <f t="shared" si="53"/>
        <v>0</v>
      </c>
      <c r="J276" s="21" t="e">
        <f t="shared" si="50"/>
        <v>#N/A</v>
      </c>
      <c r="K276" s="21" t="str">
        <f t="shared" si="54"/>
        <v/>
      </c>
    </row>
    <row r="277" spans="2:11" x14ac:dyDescent="0.25">
      <c r="B277" s="9" t="e">
        <f t="shared" si="55"/>
        <v>#N/A</v>
      </c>
      <c r="C277" s="10" t="e">
        <f t="shared" si="47"/>
        <v>#N/A</v>
      </c>
      <c r="D277" s="11" t="str">
        <f>IF(ISERROR(B277),"",bsolve($B277,$E$2,$E$4,$E$8,$E$9))</f>
        <v/>
      </c>
      <c r="E277" s="11" t="str">
        <f t="shared" si="48"/>
        <v/>
      </c>
      <c r="F277" s="11" t="str">
        <f t="shared" si="51"/>
        <v/>
      </c>
      <c r="G277" s="11" t="str">
        <f t="shared" si="52"/>
        <v/>
      </c>
      <c r="H277" s="19" t="str">
        <f t="shared" si="49"/>
        <v/>
      </c>
      <c r="I277" s="21">
        <f t="shared" si="53"/>
        <v>0</v>
      </c>
      <c r="J277" s="21" t="e">
        <f t="shared" si="50"/>
        <v>#N/A</v>
      </c>
      <c r="K277" s="21" t="str">
        <f t="shared" si="54"/>
        <v/>
      </c>
    </row>
    <row r="278" spans="2:11" x14ac:dyDescent="0.25">
      <c r="B278" s="9" t="e">
        <f t="shared" si="55"/>
        <v>#N/A</v>
      </c>
      <c r="C278" s="10" t="e">
        <f t="shared" si="47"/>
        <v>#N/A</v>
      </c>
      <c r="D278" s="11" t="str">
        <f>IF(ISERROR(B278),"",bsolve($B278,$E$2,$E$4,$E$8,$E$9))</f>
        <v/>
      </c>
      <c r="E278" s="11" t="str">
        <f t="shared" si="48"/>
        <v/>
      </c>
      <c r="F278" s="11" t="str">
        <f t="shared" si="51"/>
        <v/>
      </c>
      <c r="G278" s="11" t="str">
        <f t="shared" si="52"/>
        <v/>
      </c>
      <c r="H278" s="19" t="str">
        <f t="shared" si="49"/>
        <v/>
      </c>
      <c r="I278" s="21">
        <f t="shared" si="53"/>
        <v>0</v>
      </c>
      <c r="J278" s="21" t="e">
        <f t="shared" si="50"/>
        <v>#N/A</v>
      </c>
      <c r="K278" s="21" t="str">
        <f t="shared" si="54"/>
        <v/>
      </c>
    </row>
    <row r="279" spans="2:11" x14ac:dyDescent="0.25">
      <c r="B279" s="9" t="e">
        <f t="shared" si="55"/>
        <v>#N/A</v>
      </c>
      <c r="C279" s="10" t="e">
        <f t="shared" si="47"/>
        <v>#N/A</v>
      </c>
      <c r="D279" s="11" t="str">
        <f>IF(ISERROR(B279),"",bsolve($B279,$E$2,$E$4,$E$8,$E$9))</f>
        <v/>
      </c>
      <c r="E279" s="11" t="str">
        <f t="shared" si="48"/>
        <v/>
      </c>
      <c r="F279" s="11" t="str">
        <f t="shared" si="51"/>
        <v/>
      </c>
      <c r="G279" s="11" t="str">
        <f t="shared" si="52"/>
        <v/>
      </c>
      <c r="H279" s="19" t="str">
        <f t="shared" si="49"/>
        <v/>
      </c>
      <c r="I279" s="21">
        <f t="shared" si="53"/>
        <v>0</v>
      </c>
      <c r="J279" s="21" t="e">
        <f t="shared" si="50"/>
        <v>#N/A</v>
      </c>
      <c r="K279" s="21" t="str">
        <f t="shared" si="54"/>
        <v/>
      </c>
    </row>
    <row r="280" spans="2:11" x14ac:dyDescent="0.25">
      <c r="B280" s="9" t="e">
        <f t="shared" si="55"/>
        <v>#N/A</v>
      </c>
      <c r="C280" s="10" t="e">
        <f t="shared" si="47"/>
        <v>#N/A</v>
      </c>
      <c r="D280" s="11" t="str">
        <f>IF(ISERROR(B280),"",bsolve($B280,$E$2,$E$4,$E$8,$E$9))</f>
        <v/>
      </c>
      <c r="E280" s="11" t="str">
        <f t="shared" si="48"/>
        <v/>
      </c>
      <c r="F280" s="11" t="str">
        <f t="shared" si="51"/>
        <v/>
      </c>
      <c r="G280" s="11" t="str">
        <f t="shared" si="52"/>
        <v/>
      </c>
      <c r="H280" s="19" t="str">
        <f t="shared" si="49"/>
        <v/>
      </c>
      <c r="I280" s="21">
        <f t="shared" si="53"/>
        <v>0</v>
      </c>
      <c r="J280" s="21" t="e">
        <f t="shared" si="50"/>
        <v>#N/A</v>
      </c>
      <c r="K280" s="21" t="str">
        <f t="shared" si="54"/>
        <v/>
      </c>
    </row>
    <row r="281" spans="2:11" x14ac:dyDescent="0.25">
      <c r="B281" s="9" t="e">
        <f t="shared" si="55"/>
        <v>#N/A</v>
      </c>
      <c r="C281" s="10" t="e">
        <f t="shared" si="47"/>
        <v>#N/A</v>
      </c>
      <c r="D281" s="11" t="str">
        <f>IF(ISERROR(B281),"",bsolve($B281,$E$2,$E$4,$E$8,$E$9))</f>
        <v/>
      </c>
      <c r="E281" s="11" t="str">
        <f t="shared" si="48"/>
        <v/>
      </c>
      <c r="F281" s="11" t="str">
        <f t="shared" si="51"/>
        <v/>
      </c>
      <c r="G281" s="11" t="str">
        <f t="shared" si="52"/>
        <v/>
      </c>
      <c r="H281" s="19" t="str">
        <f t="shared" si="49"/>
        <v/>
      </c>
      <c r="I281" s="21">
        <f t="shared" si="53"/>
        <v>0</v>
      </c>
      <c r="J281" s="21" t="e">
        <f t="shared" si="50"/>
        <v>#N/A</v>
      </c>
      <c r="K281" s="21" t="str">
        <f t="shared" si="54"/>
        <v/>
      </c>
    </row>
    <row r="282" spans="2:11" x14ac:dyDescent="0.25">
      <c r="B282" s="9" t="e">
        <f t="shared" si="55"/>
        <v>#N/A</v>
      </c>
      <c r="C282" s="10" t="e">
        <f t="shared" si="47"/>
        <v>#N/A</v>
      </c>
      <c r="D282" s="11" t="str">
        <f>IF(ISERROR(B282),"",bsolve($B282,$E$2,$E$4,$E$8,$E$9))</f>
        <v/>
      </c>
      <c r="E282" s="11" t="str">
        <f t="shared" si="48"/>
        <v/>
      </c>
      <c r="F282" s="11" t="str">
        <f t="shared" si="51"/>
        <v/>
      </c>
      <c r="G282" s="11" t="str">
        <f t="shared" si="52"/>
        <v/>
      </c>
      <c r="H282" s="19" t="str">
        <f t="shared" si="49"/>
        <v/>
      </c>
      <c r="I282" s="21">
        <f t="shared" si="53"/>
        <v>0</v>
      </c>
      <c r="J282" s="21" t="e">
        <f t="shared" si="50"/>
        <v>#N/A</v>
      </c>
      <c r="K282" s="21" t="str">
        <f t="shared" si="54"/>
        <v/>
      </c>
    </row>
    <row r="283" spans="2:11" x14ac:dyDescent="0.25">
      <c r="B283" s="9" t="e">
        <f t="shared" si="55"/>
        <v>#N/A</v>
      </c>
      <c r="C283" s="10" t="e">
        <f t="shared" si="47"/>
        <v>#N/A</v>
      </c>
      <c r="D283" s="11" t="str">
        <f>IF(ISERROR(B283),"",bsolve($B283,$E$2,$E$4,$E$8,$E$9))</f>
        <v/>
      </c>
      <c r="E283" s="11" t="str">
        <f t="shared" si="48"/>
        <v/>
      </c>
      <c r="F283" s="11" t="str">
        <f t="shared" si="51"/>
        <v/>
      </c>
      <c r="G283" s="11" t="str">
        <f t="shared" si="52"/>
        <v/>
      </c>
      <c r="H283" s="19" t="str">
        <f t="shared" si="49"/>
        <v/>
      </c>
      <c r="I283" s="21">
        <f t="shared" si="53"/>
        <v>0</v>
      </c>
      <c r="J283" s="21" t="e">
        <f t="shared" si="50"/>
        <v>#N/A</v>
      </c>
      <c r="K283" s="21" t="str">
        <f t="shared" si="54"/>
        <v/>
      </c>
    </row>
    <row r="284" spans="2:11" x14ac:dyDescent="0.25">
      <c r="B284" s="9" t="e">
        <f t="shared" si="55"/>
        <v>#N/A</v>
      </c>
      <c r="C284" s="10" t="e">
        <f t="shared" si="47"/>
        <v>#N/A</v>
      </c>
      <c r="D284" s="11" t="str">
        <f>IF(ISERROR(B284),"",bsolve($B284,$E$2,$E$4,$E$8,$E$9))</f>
        <v/>
      </c>
      <c r="E284" s="11" t="str">
        <f t="shared" si="48"/>
        <v/>
      </c>
      <c r="F284" s="11" t="str">
        <f t="shared" si="51"/>
        <v/>
      </c>
      <c r="G284" s="11" t="str">
        <f t="shared" si="52"/>
        <v/>
      </c>
      <c r="H284" s="19" t="str">
        <f t="shared" si="49"/>
        <v/>
      </c>
      <c r="I284" s="21">
        <f t="shared" si="53"/>
        <v>0</v>
      </c>
      <c r="J284" s="21" t="e">
        <f t="shared" si="50"/>
        <v>#N/A</v>
      </c>
      <c r="K284" s="21" t="str">
        <f t="shared" si="54"/>
        <v/>
      </c>
    </row>
    <row r="285" spans="2:11" x14ac:dyDescent="0.25">
      <c r="B285" s="9" t="e">
        <f t="shared" si="55"/>
        <v>#N/A</v>
      </c>
      <c r="C285" s="10" t="e">
        <f t="shared" si="47"/>
        <v>#N/A</v>
      </c>
      <c r="D285" s="11" t="str">
        <f>IF(ISERROR(B285),"",bsolve($B285,$E$2,$E$4,$E$8,$E$9))</f>
        <v/>
      </c>
      <c r="E285" s="11" t="str">
        <f t="shared" si="48"/>
        <v/>
      </c>
      <c r="F285" s="11" t="str">
        <f t="shared" si="51"/>
        <v/>
      </c>
      <c r="G285" s="11" t="str">
        <f t="shared" si="52"/>
        <v/>
      </c>
      <c r="H285" s="19" t="str">
        <f t="shared" si="49"/>
        <v/>
      </c>
      <c r="I285" s="21">
        <f t="shared" si="53"/>
        <v>0</v>
      </c>
      <c r="J285" s="21" t="e">
        <f t="shared" si="50"/>
        <v>#N/A</v>
      </c>
      <c r="K285" s="21" t="str">
        <f t="shared" si="54"/>
        <v/>
      </c>
    </row>
    <row r="286" spans="2:11" x14ac:dyDescent="0.25">
      <c r="B286" s="9" t="e">
        <f t="shared" si="55"/>
        <v>#N/A</v>
      </c>
      <c r="C286" s="10" t="e">
        <f t="shared" si="47"/>
        <v>#N/A</v>
      </c>
      <c r="D286" s="11" t="str">
        <f>IF(ISERROR(B286),"",bsolve($B286,$E$2,$E$4,$E$8,$E$9))</f>
        <v/>
      </c>
      <c r="E286" s="11" t="str">
        <f t="shared" si="48"/>
        <v/>
      </c>
      <c r="F286" s="11" t="str">
        <f t="shared" si="51"/>
        <v/>
      </c>
      <c r="G286" s="11" t="str">
        <f t="shared" si="52"/>
        <v/>
      </c>
      <c r="H286" s="19" t="str">
        <f t="shared" si="49"/>
        <v/>
      </c>
      <c r="I286" s="21">
        <f t="shared" si="53"/>
        <v>0</v>
      </c>
      <c r="J286" s="21" t="e">
        <f t="shared" si="50"/>
        <v>#N/A</v>
      </c>
      <c r="K286" s="21" t="str">
        <f t="shared" si="54"/>
        <v/>
      </c>
    </row>
    <row r="287" spans="2:11" x14ac:dyDescent="0.25">
      <c r="B287" s="9" t="e">
        <f t="shared" si="55"/>
        <v>#N/A</v>
      </c>
      <c r="C287" s="10" t="e">
        <f t="shared" si="47"/>
        <v>#N/A</v>
      </c>
      <c r="D287" s="11" t="str">
        <f>IF(ISERROR(B287),"",bsolve($B287,$E$2,$E$4,$E$8,$E$9))</f>
        <v/>
      </c>
      <c r="E287" s="11" t="str">
        <f t="shared" si="48"/>
        <v/>
      </c>
      <c r="F287" s="11" t="str">
        <f t="shared" si="51"/>
        <v/>
      </c>
      <c r="G287" s="11" t="str">
        <f t="shared" si="52"/>
        <v/>
      </c>
      <c r="H287" s="19" t="str">
        <f t="shared" si="49"/>
        <v/>
      </c>
      <c r="I287" s="21">
        <f t="shared" si="53"/>
        <v>0</v>
      </c>
      <c r="J287" s="21" t="e">
        <f t="shared" si="50"/>
        <v>#N/A</v>
      </c>
      <c r="K287" s="21" t="str">
        <f t="shared" si="54"/>
        <v/>
      </c>
    </row>
    <row r="288" spans="2:11" x14ac:dyDescent="0.25">
      <c r="B288" s="9" t="e">
        <f t="shared" si="55"/>
        <v>#N/A</v>
      </c>
      <c r="C288" s="10" t="e">
        <f t="shared" si="47"/>
        <v>#N/A</v>
      </c>
      <c r="D288" s="11" t="str">
        <f>IF(ISERROR(B288),"",bsolve($B288,$E$2,$E$4,$E$8,$E$9))</f>
        <v/>
      </c>
      <c r="E288" s="11" t="str">
        <f t="shared" si="48"/>
        <v/>
      </c>
      <c r="F288" s="11" t="str">
        <f t="shared" si="51"/>
        <v/>
      </c>
      <c r="G288" s="11" t="str">
        <f t="shared" si="52"/>
        <v/>
      </c>
      <c r="H288" s="19" t="str">
        <f t="shared" si="49"/>
        <v/>
      </c>
      <c r="I288" s="21">
        <f t="shared" si="53"/>
        <v>0</v>
      </c>
      <c r="J288" s="21" t="e">
        <f t="shared" si="50"/>
        <v>#N/A</v>
      </c>
      <c r="K288" s="21" t="str">
        <f t="shared" si="54"/>
        <v/>
      </c>
    </row>
    <row r="289" spans="2:11" x14ac:dyDescent="0.25">
      <c r="B289" s="9" t="e">
        <f t="shared" si="55"/>
        <v>#N/A</v>
      </c>
      <c r="C289" s="10" t="e">
        <f t="shared" si="47"/>
        <v>#N/A</v>
      </c>
      <c r="D289" s="11" t="str">
        <f>IF(ISERROR(B289),"",bsolve($B289,$E$2,$E$4,$E$8,$E$9))</f>
        <v/>
      </c>
      <c r="E289" s="11" t="str">
        <f t="shared" si="48"/>
        <v/>
      </c>
      <c r="F289" s="11" t="str">
        <f t="shared" si="51"/>
        <v/>
      </c>
      <c r="G289" s="11" t="str">
        <f t="shared" si="52"/>
        <v/>
      </c>
      <c r="H289" s="19" t="str">
        <f t="shared" si="49"/>
        <v/>
      </c>
      <c r="I289" s="21">
        <f t="shared" si="53"/>
        <v>0</v>
      </c>
      <c r="J289" s="21" t="e">
        <f t="shared" si="50"/>
        <v>#N/A</v>
      </c>
      <c r="K289" s="21" t="str">
        <f t="shared" si="54"/>
        <v/>
      </c>
    </row>
    <row r="290" spans="2:11" x14ac:dyDescent="0.25">
      <c r="B290" s="9" t="e">
        <f t="shared" si="55"/>
        <v>#N/A</v>
      </c>
      <c r="C290" s="10" t="e">
        <f t="shared" si="47"/>
        <v>#N/A</v>
      </c>
      <c r="D290" s="11" t="str">
        <f>IF(ISERROR(B290),"",bsolve($B290,$E$2,$E$4,$E$8,$E$9))</f>
        <v/>
      </c>
      <c r="E290" s="11" t="str">
        <f t="shared" si="48"/>
        <v/>
      </c>
      <c r="F290" s="11" t="str">
        <f t="shared" si="51"/>
        <v/>
      </c>
      <c r="G290" s="11" t="str">
        <f t="shared" si="52"/>
        <v/>
      </c>
      <c r="H290" s="19" t="str">
        <f t="shared" si="49"/>
        <v/>
      </c>
      <c r="I290" s="21">
        <f t="shared" si="53"/>
        <v>0</v>
      </c>
      <c r="J290" s="21" t="e">
        <f t="shared" si="50"/>
        <v>#N/A</v>
      </c>
      <c r="K290" s="21" t="str">
        <f t="shared" si="54"/>
        <v/>
      </c>
    </row>
    <row r="291" spans="2:11" x14ac:dyDescent="0.25">
      <c r="B291" s="9" t="e">
        <f t="shared" si="55"/>
        <v>#N/A</v>
      </c>
      <c r="C291" s="10" t="e">
        <f t="shared" si="47"/>
        <v>#N/A</v>
      </c>
      <c r="D291" s="11" t="str">
        <f>IF(ISERROR(B291),"",bsolve($B291,$E$2,$E$4,$E$8,$E$9))</f>
        <v/>
      </c>
      <c r="E291" s="11" t="str">
        <f t="shared" si="48"/>
        <v/>
      </c>
      <c r="F291" s="11" t="str">
        <f t="shared" si="51"/>
        <v/>
      </c>
      <c r="G291" s="11" t="str">
        <f t="shared" si="52"/>
        <v/>
      </c>
      <c r="H291" s="19" t="str">
        <f t="shared" si="49"/>
        <v/>
      </c>
      <c r="I291" s="21">
        <f t="shared" si="53"/>
        <v>0</v>
      </c>
      <c r="J291" s="21" t="e">
        <f t="shared" si="50"/>
        <v>#N/A</v>
      </c>
      <c r="K291" s="21" t="str">
        <f t="shared" si="54"/>
        <v/>
      </c>
    </row>
    <row r="292" spans="2:11" x14ac:dyDescent="0.25">
      <c r="B292" s="9" t="e">
        <f t="shared" si="55"/>
        <v>#N/A</v>
      </c>
      <c r="C292" s="10" t="e">
        <f t="shared" si="47"/>
        <v>#N/A</v>
      </c>
      <c r="D292" s="11" t="str">
        <f>IF(ISERROR(B292),"",bsolve($B292,$E$2,$E$4,$E$8,$E$9))</f>
        <v/>
      </c>
      <c r="E292" s="11" t="str">
        <f t="shared" si="48"/>
        <v/>
      </c>
      <c r="F292" s="11" t="str">
        <f t="shared" si="51"/>
        <v/>
      </c>
      <c r="G292" s="11" t="str">
        <f t="shared" si="52"/>
        <v/>
      </c>
      <c r="H292" s="19" t="str">
        <f t="shared" si="49"/>
        <v/>
      </c>
      <c r="I292" s="21">
        <f t="shared" si="53"/>
        <v>0</v>
      </c>
      <c r="J292" s="21" t="e">
        <f t="shared" si="50"/>
        <v>#N/A</v>
      </c>
      <c r="K292" s="21" t="str">
        <f t="shared" si="54"/>
        <v/>
      </c>
    </row>
    <row r="293" spans="2:11" x14ac:dyDescent="0.25">
      <c r="B293" s="9" t="e">
        <f t="shared" si="55"/>
        <v>#N/A</v>
      </c>
      <c r="C293" s="10" t="e">
        <f t="shared" si="47"/>
        <v>#N/A</v>
      </c>
      <c r="D293" s="11" t="str">
        <f>IF(ISERROR(B293),"",bsolve($B293,$E$2,$E$4,$E$8,$E$9))</f>
        <v/>
      </c>
      <c r="E293" s="11" t="str">
        <f t="shared" si="48"/>
        <v/>
      </c>
      <c r="F293" s="11" t="str">
        <f t="shared" si="51"/>
        <v/>
      </c>
      <c r="G293" s="11" t="str">
        <f t="shared" si="52"/>
        <v/>
      </c>
      <c r="H293" s="19" t="str">
        <f t="shared" si="49"/>
        <v/>
      </c>
      <c r="I293" s="21">
        <f t="shared" si="53"/>
        <v>0</v>
      </c>
      <c r="J293" s="21" t="e">
        <f t="shared" si="50"/>
        <v>#N/A</v>
      </c>
      <c r="K293" s="21" t="str">
        <f t="shared" si="54"/>
        <v/>
      </c>
    </row>
    <row r="294" spans="2:11" x14ac:dyDescent="0.25">
      <c r="B294" s="9" t="e">
        <f t="shared" si="55"/>
        <v>#N/A</v>
      </c>
      <c r="C294" s="10" t="e">
        <f t="shared" si="47"/>
        <v>#N/A</v>
      </c>
      <c r="D294" s="11" t="str">
        <f>IF(ISERROR(B294),"",bsolve($B294,$E$2,$E$4,$E$8,$E$9))</f>
        <v/>
      </c>
      <c r="E294" s="11" t="str">
        <f t="shared" si="48"/>
        <v/>
      </c>
      <c r="F294" s="11" t="str">
        <f t="shared" si="51"/>
        <v/>
      </c>
      <c r="G294" s="11" t="str">
        <f t="shared" si="52"/>
        <v/>
      </c>
      <c r="H294" s="19" t="str">
        <f t="shared" si="49"/>
        <v/>
      </c>
      <c r="I294" s="21">
        <f t="shared" si="53"/>
        <v>0</v>
      </c>
      <c r="J294" s="21" t="e">
        <f t="shared" si="50"/>
        <v>#N/A</v>
      </c>
      <c r="K294" s="21" t="str">
        <f t="shared" si="54"/>
        <v/>
      </c>
    </row>
    <row r="295" spans="2:11" x14ac:dyDescent="0.25">
      <c r="B295" s="9" t="e">
        <f t="shared" si="55"/>
        <v>#N/A</v>
      </c>
      <c r="C295" s="10" t="e">
        <f t="shared" si="47"/>
        <v>#N/A</v>
      </c>
      <c r="D295" s="11" t="str">
        <f>IF(ISERROR(B295),"",bsolve($B295,$E$2,$E$4,$E$8,$E$9))</f>
        <v/>
      </c>
      <c r="E295" s="11" t="str">
        <f t="shared" si="48"/>
        <v/>
      </c>
      <c r="F295" s="11" t="str">
        <f t="shared" si="51"/>
        <v/>
      </c>
      <c r="G295" s="11" t="str">
        <f t="shared" si="52"/>
        <v/>
      </c>
      <c r="H295" s="19" t="str">
        <f t="shared" si="49"/>
        <v/>
      </c>
      <c r="I295" s="21">
        <f t="shared" si="53"/>
        <v>0</v>
      </c>
      <c r="J295" s="21" t="e">
        <f t="shared" si="50"/>
        <v>#N/A</v>
      </c>
      <c r="K295" s="21" t="str">
        <f t="shared" si="54"/>
        <v/>
      </c>
    </row>
    <row r="296" spans="2:11" x14ac:dyDescent="0.25">
      <c r="B296" s="9" t="e">
        <f t="shared" si="55"/>
        <v>#N/A</v>
      </c>
      <c r="C296" s="10" t="e">
        <f t="shared" si="47"/>
        <v>#N/A</v>
      </c>
      <c r="D296" s="11" t="str">
        <f>IF(ISERROR(B296),"",bsolve($B296,$E$2,$E$4,$E$8,$E$9))</f>
        <v/>
      </c>
      <c r="E296" s="11" t="str">
        <f t="shared" si="48"/>
        <v/>
      </c>
      <c r="F296" s="11" t="str">
        <f t="shared" si="51"/>
        <v/>
      </c>
      <c r="G296" s="11" t="str">
        <f t="shared" si="52"/>
        <v/>
      </c>
      <c r="H296" s="19" t="str">
        <f t="shared" si="49"/>
        <v/>
      </c>
      <c r="I296" s="21">
        <f t="shared" si="53"/>
        <v>0</v>
      </c>
      <c r="J296" s="21" t="e">
        <f t="shared" si="50"/>
        <v>#N/A</v>
      </c>
      <c r="K296" s="21" t="str">
        <f t="shared" si="54"/>
        <v/>
      </c>
    </row>
    <row r="297" spans="2:11" x14ac:dyDescent="0.25">
      <c r="B297" s="9" t="e">
        <f t="shared" si="55"/>
        <v>#N/A</v>
      </c>
      <c r="C297" s="10" t="e">
        <f t="shared" si="47"/>
        <v>#N/A</v>
      </c>
      <c r="D297" s="11" t="str">
        <f>IF(ISERROR(B297),"",bsolve($B297,$E$2,$E$4,$E$8,$E$9))</f>
        <v/>
      </c>
      <c r="E297" s="11" t="str">
        <f t="shared" si="48"/>
        <v/>
      </c>
      <c r="F297" s="11" t="str">
        <f t="shared" si="51"/>
        <v/>
      </c>
      <c r="G297" s="11" t="str">
        <f t="shared" si="52"/>
        <v/>
      </c>
      <c r="H297" s="19" t="str">
        <f t="shared" si="49"/>
        <v/>
      </c>
      <c r="I297" s="21">
        <f t="shared" si="53"/>
        <v>0</v>
      </c>
      <c r="J297" s="21" t="e">
        <f t="shared" si="50"/>
        <v>#N/A</v>
      </c>
      <c r="K297" s="21" t="str">
        <f t="shared" si="54"/>
        <v/>
      </c>
    </row>
    <row r="298" spans="2:11" x14ac:dyDescent="0.25">
      <c r="B298" s="9" t="e">
        <f t="shared" si="55"/>
        <v>#N/A</v>
      </c>
      <c r="C298" s="10" t="e">
        <f t="shared" si="47"/>
        <v>#N/A</v>
      </c>
      <c r="D298" s="11" t="str">
        <f>IF(ISERROR(B298),"",bsolve($B298,$E$2,$E$4,$E$8,$E$9))</f>
        <v/>
      </c>
      <c r="E298" s="11" t="str">
        <f t="shared" si="48"/>
        <v/>
      </c>
      <c r="F298" s="11" t="str">
        <f t="shared" si="51"/>
        <v/>
      </c>
      <c r="G298" s="11" t="str">
        <f t="shared" si="52"/>
        <v/>
      </c>
      <c r="H298" s="19" t="str">
        <f t="shared" si="49"/>
        <v/>
      </c>
      <c r="I298" s="21">
        <f t="shared" si="53"/>
        <v>0</v>
      </c>
      <c r="J298" s="21" t="e">
        <f t="shared" si="50"/>
        <v>#N/A</v>
      </c>
      <c r="K298" s="21" t="str">
        <f t="shared" si="54"/>
        <v/>
      </c>
    </row>
    <row r="299" spans="2:11" x14ac:dyDescent="0.25">
      <c r="B299" s="9" t="e">
        <f t="shared" si="55"/>
        <v>#N/A</v>
      </c>
      <c r="C299" s="10" t="e">
        <f t="shared" si="47"/>
        <v>#N/A</v>
      </c>
      <c r="D299" s="11" t="str">
        <f>IF(ISERROR(B299),"",bsolve($B299,$E$2,$E$4,$E$8,$E$9))</f>
        <v/>
      </c>
      <c r="E299" s="11" t="str">
        <f t="shared" si="48"/>
        <v/>
      </c>
      <c r="F299" s="11" t="str">
        <f t="shared" si="51"/>
        <v/>
      </c>
      <c r="G299" s="11" t="str">
        <f t="shared" si="52"/>
        <v/>
      </c>
      <c r="H299" s="19" t="str">
        <f t="shared" si="49"/>
        <v/>
      </c>
      <c r="I299" s="21">
        <f t="shared" si="53"/>
        <v>0</v>
      </c>
      <c r="J299" s="21" t="e">
        <f t="shared" si="50"/>
        <v>#N/A</v>
      </c>
      <c r="K299" s="21" t="str">
        <f t="shared" si="54"/>
        <v/>
      </c>
    </row>
    <row r="300" spans="2:11" x14ac:dyDescent="0.25">
      <c r="B300" s="9" t="e">
        <f t="shared" si="55"/>
        <v>#N/A</v>
      </c>
      <c r="C300" s="10" t="e">
        <f t="shared" si="47"/>
        <v>#N/A</v>
      </c>
      <c r="D300" s="11" t="str">
        <f>IF(ISERROR(B300),"",bsolve($B300,$E$2,$E$4,$E$8,$E$9))</f>
        <v/>
      </c>
      <c r="E300" s="11" t="str">
        <f t="shared" si="48"/>
        <v/>
      </c>
      <c r="F300" s="11" t="str">
        <f t="shared" si="51"/>
        <v/>
      </c>
      <c r="G300" s="11" t="str">
        <f t="shared" si="52"/>
        <v/>
      </c>
      <c r="H300" s="19" t="str">
        <f t="shared" si="49"/>
        <v/>
      </c>
      <c r="I300" s="21">
        <f t="shared" si="53"/>
        <v>0</v>
      </c>
      <c r="J300" s="21" t="e">
        <f t="shared" si="50"/>
        <v>#N/A</v>
      </c>
      <c r="K300" s="21" t="str">
        <f t="shared" si="54"/>
        <v/>
      </c>
    </row>
    <row r="301" spans="2:11" x14ac:dyDescent="0.25">
      <c r="B301" s="9" t="e">
        <f t="shared" si="55"/>
        <v>#N/A</v>
      </c>
      <c r="C301" s="10" t="e">
        <f t="shared" si="47"/>
        <v>#N/A</v>
      </c>
      <c r="D301" s="11" t="str">
        <f>IF(ISERROR(B301),"",bsolve($B301,$E$2,$E$4,$E$8,$E$9))</f>
        <v/>
      </c>
      <c r="E301" s="11" t="str">
        <f t="shared" si="48"/>
        <v/>
      </c>
      <c r="F301" s="11" t="str">
        <f t="shared" si="51"/>
        <v/>
      </c>
      <c r="G301" s="11" t="str">
        <f t="shared" si="52"/>
        <v/>
      </c>
      <c r="H301" s="19" t="str">
        <f t="shared" si="49"/>
        <v/>
      </c>
      <c r="I301" s="21">
        <f t="shared" si="53"/>
        <v>0</v>
      </c>
      <c r="J301" s="21" t="e">
        <f t="shared" si="50"/>
        <v>#N/A</v>
      </c>
      <c r="K301" s="21" t="str">
        <f t="shared" si="54"/>
        <v/>
      </c>
    </row>
    <row r="302" spans="2:11" x14ac:dyDescent="0.25">
      <c r="B302" s="9" t="e">
        <f t="shared" si="55"/>
        <v>#N/A</v>
      </c>
      <c r="C302" s="10" t="e">
        <f t="shared" si="47"/>
        <v>#N/A</v>
      </c>
      <c r="D302" s="11" t="str">
        <f>IF(ISERROR(B302),"",bsolve($B302,$E$2,$E$4,$E$8,$E$9))</f>
        <v/>
      </c>
      <c r="E302" s="11" t="str">
        <f t="shared" si="48"/>
        <v/>
      </c>
      <c r="F302" s="11" t="str">
        <f t="shared" si="51"/>
        <v/>
      </c>
      <c r="G302" s="11" t="str">
        <f t="shared" si="52"/>
        <v/>
      </c>
      <c r="H302" s="19" t="str">
        <f t="shared" si="49"/>
        <v/>
      </c>
      <c r="I302" s="21">
        <f t="shared" si="53"/>
        <v>0</v>
      </c>
      <c r="J302" s="21" t="e">
        <f t="shared" si="50"/>
        <v>#N/A</v>
      </c>
      <c r="K302" s="21" t="str">
        <f t="shared" si="54"/>
        <v/>
      </c>
    </row>
    <row r="303" spans="2:11" x14ac:dyDescent="0.25">
      <c r="B303" s="9" t="e">
        <f t="shared" si="55"/>
        <v>#N/A</v>
      </c>
      <c r="C303" s="10" t="e">
        <f t="shared" si="47"/>
        <v>#N/A</v>
      </c>
      <c r="D303" s="11" t="str">
        <f>IF(ISERROR(B303),"",bsolve($B303,$E$2,$E$4,$E$8,$E$9))</f>
        <v/>
      </c>
      <c r="E303" s="11" t="str">
        <f t="shared" si="48"/>
        <v/>
      </c>
      <c r="F303" s="11" t="str">
        <f t="shared" si="51"/>
        <v/>
      </c>
      <c r="G303" s="11" t="str">
        <f t="shared" si="52"/>
        <v/>
      </c>
      <c r="H303" s="19" t="str">
        <f t="shared" si="49"/>
        <v/>
      </c>
      <c r="I303" s="21">
        <f t="shared" si="53"/>
        <v>0</v>
      </c>
      <c r="J303" s="21" t="e">
        <f t="shared" si="50"/>
        <v>#N/A</v>
      </c>
      <c r="K303" s="21" t="str">
        <f t="shared" si="54"/>
        <v/>
      </c>
    </row>
    <row r="304" spans="2:11" x14ac:dyDescent="0.25">
      <c r="B304" s="9" t="e">
        <f t="shared" si="55"/>
        <v>#N/A</v>
      </c>
      <c r="C304" s="10" t="e">
        <f t="shared" si="47"/>
        <v>#N/A</v>
      </c>
      <c r="D304" s="11" t="str">
        <f>IF(ISERROR(B304),"",bsolve($B304,$E$2,$E$4,$E$8,$E$9))</f>
        <v/>
      </c>
      <c r="E304" s="11" t="str">
        <f t="shared" si="48"/>
        <v/>
      </c>
      <c r="F304" s="11" t="str">
        <f t="shared" si="51"/>
        <v/>
      </c>
      <c r="G304" s="11" t="str">
        <f t="shared" si="52"/>
        <v/>
      </c>
      <c r="H304" s="19" t="str">
        <f t="shared" si="49"/>
        <v/>
      </c>
      <c r="I304" s="21">
        <f t="shared" si="53"/>
        <v>0</v>
      </c>
      <c r="J304" s="21" t="e">
        <f t="shared" si="50"/>
        <v>#N/A</v>
      </c>
      <c r="K304" s="21" t="str">
        <f t="shared" si="54"/>
        <v/>
      </c>
    </row>
    <row r="305" spans="2:11" x14ac:dyDescent="0.25">
      <c r="B305" s="9" t="e">
        <f t="shared" si="55"/>
        <v>#N/A</v>
      </c>
      <c r="C305" s="10" t="e">
        <f t="shared" si="47"/>
        <v>#N/A</v>
      </c>
      <c r="D305" s="11" t="str">
        <f>IF(ISERROR(B305),"",bsolve($B305,$E$2,$E$4,$E$8,$E$9))</f>
        <v/>
      </c>
      <c r="E305" s="11" t="str">
        <f t="shared" si="48"/>
        <v/>
      </c>
      <c r="F305" s="11" t="str">
        <f t="shared" si="51"/>
        <v/>
      </c>
      <c r="G305" s="11" t="str">
        <f t="shared" si="52"/>
        <v/>
      </c>
      <c r="H305" s="19" t="str">
        <f t="shared" si="49"/>
        <v/>
      </c>
      <c r="I305" s="21">
        <f t="shared" si="53"/>
        <v>0</v>
      </c>
      <c r="J305" s="21" t="e">
        <f t="shared" si="50"/>
        <v>#N/A</v>
      </c>
      <c r="K305" s="21" t="str">
        <f t="shared" si="54"/>
        <v/>
      </c>
    </row>
    <row r="306" spans="2:11" x14ac:dyDescent="0.25">
      <c r="B306" s="9" t="e">
        <f t="shared" si="55"/>
        <v>#N/A</v>
      </c>
      <c r="C306" s="10" t="e">
        <f t="shared" si="47"/>
        <v>#N/A</v>
      </c>
      <c r="D306" s="11" t="str">
        <f>IF(ISERROR(B306),"",bsolve($B306,$E$2,$E$4,$E$8,$E$9))</f>
        <v/>
      </c>
      <c r="E306" s="11" t="str">
        <f t="shared" si="48"/>
        <v/>
      </c>
      <c r="F306" s="11" t="str">
        <f t="shared" si="51"/>
        <v/>
      </c>
      <c r="G306" s="11" t="str">
        <f t="shared" si="52"/>
        <v/>
      </c>
      <c r="H306" s="19" t="str">
        <f t="shared" si="49"/>
        <v/>
      </c>
      <c r="I306" s="21">
        <f t="shared" si="53"/>
        <v>0</v>
      </c>
      <c r="J306" s="21" t="e">
        <f t="shared" si="50"/>
        <v>#N/A</v>
      </c>
      <c r="K306" s="21" t="str">
        <f t="shared" si="54"/>
        <v/>
      </c>
    </row>
    <row r="307" spans="2:11" x14ac:dyDescent="0.25">
      <c r="B307" s="9" t="e">
        <f t="shared" si="55"/>
        <v>#N/A</v>
      </c>
      <c r="C307" s="10" t="e">
        <f t="shared" si="47"/>
        <v>#N/A</v>
      </c>
      <c r="D307" s="11" t="str">
        <f>IF(ISERROR(B307),"",bsolve($B307,$E$2,$E$4,$E$8,$E$9))</f>
        <v/>
      </c>
      <c r="E307" s="11" t="str">
        <f t="shared" si="48"/>
        <v/>
      </c>
      <c r="F307" s="11" t="str">
        <f t="shared" si="51"/>
        <v/>
      </c>
      <c r="G307" s="11" t="str">
        <f t="shared" si="52"/>
        <v/>
      </c>
      <c r="H307" s="19" t="str">
        <f t="shared" si="49"/>
        <v/>
      </c>
      <c r="I307" s="21">
        <f t="shared" si="53"/>
        <v>0</v>
      </c>
      <c r="J307" s="21" t="e">
        <f t="shared" si="50"/>
        <v>#N/A</v>
      </c>
      <c r="K307" s="21" t="str">
        <f t="shared" si="54"/>
        <v/>
      </c>
    </row>
    <row r="308" spans="2:11" x14ac:dyDescent="0.25">
      <c r="B308" s="9" t="e">
        <f t="shared" si="55"/>
        <v>#N/A</v>
      </c>
      <c r="C308" s="10" t="e">
        <f t="shared" si="47"/>
        <v>#N/A</v>
      </c>
      <c r="D308" s="11" t="str">
        <f>IF(ISERROR(B308),"",bsolve($B308,$E$2,$E$4,$E$8,$E$9))</f>
        <v/>
      </c>
      <c r="E308" s="11" t="str">
        <f t="shared" si="48"/>
        <v/>
      </c>
      <c r="F308" s="11" t="str">
        <f t="shared" si="51"/>
        <v/>
      </c>
      <c r="G308" s="11" t="str">
        <f t="shared" si="52"/>
        <v/>
      </c>
      <c r="H308" s="19" t="str">
        <f t="shared" si="49"/>
        <v/>
      </c>
      <c r="I308" s="21">
        <f t="shared" si="53"/>
        <v>0</v>
      </c>
      <c r="J308" s="21" t="e">
        <f t="shared" si="50"/>
        <v>#N/A</v>
      </c>
      <c r="K308" s="21" t="str">
        <f t="shared" si="54"/>
        <v/>
      </c>
    </row>
    <row r="309" spans="2:11" x14ac:dyDescent="0.25">
      <c r="B309" s="9" t="e">
        <f t="shared" si="55"/>
        <v>#N/A</v>
      </c>
      <c r="C309" s="10" t="e">
        <f t="shared" si="47"/>
        <v>#N/A</v>
      </c>
      <c r="D309" s="11" t="str">
        <f>IF(ISERROR(B309),"",bsolve($B309,$E$2,$E$4,$E$8,$E$9))</f>
        <v/>
      </c>
      <c r="E309" s="11" t="str">
        <f t="shared" si="48"/>
        <v/>
      </c>
      <c r="F309" s="11" t="str">
        <f t="shared" si="51"/>
        <v/>
      </c>
      <c r="G309" s="11" t="str">
        <f t="shared" si="52"/>
        <v/>
      </c>
      <c r="H309" s="19" t="str">
        <f t="shared" si="49"/>
        <v/>
      </c>
      <c r="I309" s="21">
        <f t="shared" si="53"/>
        <v>0</v>
      </c>
      <c r="J309" s="21" t="e">
        <f t="shared" si="50"/>
        <v>#N/A</v>
      </c>
      <c r="K309" s="21" t="str">
        <f t="shared" si="54"/>
        <v/>
      </c>
    </row>
    <row r="310" spans="2:11" x14ac:dyDescent="0.25">
      <c r="B310" s="9" t="e">
        <f t="shared" si="55"/>
        <v>#N/A</v>
      </c>
      <c r="C310" s="10" t="e">
        <f t="shared" si="47"/>
        <v>#N/A</v>
      </c>
      <c r="D310" s="11" t="str">
        <f>IF(ISERROR(B310),"",bsolve($B310,$E$2,$E$4,$E$8,$E$9))</f>
        <v/>
      </c>
      <c r="E310" s="11" t="str">
        <f t="shared" si="48"/>
        <v/>
      </c>
      <c r="F310" s="11" t="str">
        <f t="shared" si="51"/>
        <v/>
      </c>
      <c r="G310" s="11" t="str">
        <f t="shared" si="52"/>
        <v/>
      </c>
      <c r="H310" s="19" t="str">
        <f t="shared" si="49"/>
        <v/>
      </c>
      <c r="I310" s="21">
        <f t="shared" si="53"/>
        <v>0</v>
      </c>
      <c r="J310" s="21" t="e">
        <f t="shared" si="50"/>
        <v>#N/A</v>
      </c>
      <c r="K310" s="21" t="str">
        <f t="shared" si="54"/>
        <v/>
      </c>
    </row>
    <row r="311" spans="2:11" x14ac:dyDescent="0.25">
      <c r="B311" s="9" t="e">
        <f t="shared" si="55"/>
        <v>#N/A</v>
      </c>
      <c r="C311" s="10" t="e">
        <f t="shared" si="47"/>
        <v>#N/A</v>
      </c>
      <c r="D311" s="11" t="str">
        <f>IF(ISERROR(B311),"",bsolve($B311,$E$2,$E$4,$E$8,$E$9))</f>
        <v/>
      </c>
      <c r="E311" s="11" t="str">
        <f t="shared" si="48"/>
        <v/>
      </c>
      <c r="F311" s="11" t="str">
        <f t="shared" si="51"/>
        <v/>
      </c>
      <c r="G311" s="11" t="str">
        <f t="shared" si="52"/>
        <v/>
      </c>
      <c r="H311" s="19" t="str">
        <f t="shared" si="49"/>
        <v/>
      </c>
      <c r="I311" s="21">
        <f t="shared" si="53"/>
        <v>0</v>
      </c>
      <c r="J311" s="21" t="e">
        <f t="shared" si="50"/>
        <v>#N/A</v>
      </c>
      <c r="K311" s="21" t="str">
        <f t="shared" si="54"/>
        <v/>
      </c>
    </row>
    <row r="312" spans="2:11" x14ac:dyDescent="0.25">
      <c r="B312" s="9" t="e">
        <f t="shared" si="55"/>
        <v>#N/A</v>
      </c>
      <c r="C312" s="10" t="e">
        <f t="shared" si="47"/>
        <v>#N/A</v>
      </c>
      <c r="D312" s="11" t="str">
        <f>IF(ISERROR(B312),"",bsolve($B312,$E$2,$E$4,$E$8,$E$9))</f>
        <v/>
      </c>
      <c r="E312" s="11" t="str">
        <f t="shared" si="48"/>
        <v/>
      </c>
      <c r="F312" s="11" t="str">
        <f t="shared" si="51"/>
        <v/>
      </c>
      <c r="G312" s="11" t="str">
        <f t="shared" si="52"/>
        <v/>
      </c>
      <c r="H312" s="19" t="str">
        <f t="shared" si="49"/>
        <v/>
      </c>
      <c r="I312" s="21">
        <f t="shared" si="53"/>
        <v>0</v>
      </c>
      <c r="J312" s="21" t="e">
        <f t="shared" si="50"/>
        <v>#N/A</v>
      </c>
      <c r="K312" s="21" t="str">
        <f t="shared" si="54"/>
        <v/>
      </c>
    </row>
    <row r="313" spans="2:11" x14ac:dyDescent="0.25">
      <c r="B313" s="9" t="e">
        <f t="shared" si="55"/>
        <v>#N/A</v>
      </c>
      <c r="C313" s="10" t="e">
        <f t="shared" si="47"/>
        <v>#N/A</v>
      </c>
      <c r="D313" s="11" t="str">
        <f>IF(ISERROR(B313),"",bsolve($B313,$E$2,$E$4,$E$8,$E$9))</f>
        <v/>
      </c>
      <c r="E313" s="11" t="str">
        <f t="shared" si="48"/>
        <v/>
      </c>
      <c r="F313" s="11" t="str">
        <f t="shared" si="51"/>
        <v/>
      </c>
      <c r="G313" s="11" t="str">
        <f t="shared" si="52"/>
        <v/>
      </c>
      <c r="H313" s="19" t="str">
        <f t="shared" si="49"/>
        <v/>
      </c>
      <c r="I313" s="21">
        <f t="shared" si="53"/>
        <v>0</v>
      </c>
      <c r="J313" s="21" t="e">
        <f t="shared" si="50"/>
        <v>#N/A</v>
      </c>
      <c r="K313" s="21" t="str">
        <f t="shared" si="54"/>
        <v/>
      </c>
    </row>
    <row r="314" spans="2:11" x14ac:dyDescent="0.25">
      <c r="B314" s="9" t="e">
        <f t="shared" si="55"/>
        <v>#N/A</v>
      </c>
      <c r="C314" s="10" t="e">
        <f t="shared" si="47"/>
        <v>#N/A</v>
      </c>
      <c r="D314" s="11" t="str">
        <f>IF(ISERROR(B314),"",bsolve($B314,$E$2,$E$4,$E$8,$E$9))</f>
        <v/>
      </c>
      <c r="E314" s="11" t="str">
        <f t="shared" si="48"/>
        <v/>
      </c>
      <c r="F314" s="11" t="str">
        <f t="shared" si="51"/>
        <v/>
      </c>
      <c r="G314" s="11" t="str">
        <f t="shared" si="52"/>
        <v/>
      </c>
      <c r="H314" s="19" t="str">
        <f t="shared" si="49"/>
        <v/>
      </c>
      <c r="I314" s="21">
        <f t="shared" si="53"/>
        <v>0</v>
      </c>
      <c r="J314" s="21" t="e">
        <f t="shared" si="50"/>
        <v>#N/A</v>
      </c>
      <c r="K314" s="21" t="str">
        <f t="shared" si="54"/>
        <v/>
      </c>
    </row>
    <row r="315" spans="2:11" x14ac:dyDescent="0.25">
      <c r="B315" s="9" t="e">
        <f t="shared" si="55"/>
        <v>#N/A</v>
      </c>
      <c r="C315" s="10" t="e">
        <f t="shared" si="47"/>
        <v>#N/A</v>
      </c>
      <c r="D315" s="11" t="str">
        <f>IF(ISERROR(B315),"",bsolve($B315,$E$2,$E$4,$E$8,$E$9))</f>
        <v/>
      </c>
      <c r="E315" s="11" t="str">
        <f t="shared" si="48"/>
        <v/>
      </c>
      <c r="F315" s="11" t="str">
        <f t="shared" si="51"/>
        <v/>
      </c>
      <c r="G315" s="11" t="str">
        <f t="shared" si="52"/>
        <v/>
      </c>
      <c r="H315" s="19" t="str">
        <f t="shared" si="49"/>
        <v/>
      </c>
      <c r="I315" s="21">
        <f t="shared" si="53"/>
        <v>0</v>
      </c>
      <c r="J315" s="21" t="e">
        <f t="shared" si="50"/>
        <v>#N/A</v>
      </c>
      <c r="K315" s="21" t="str">
        <f t="shared" si="54"/>
        <v/>
      </c>
    </row>
    <row r="316" spans="2:11" x14ac:dyDescent="0.25">
      <c r="B316" s="9" t="e">
        <f t="shared" si="55"/>
        <v>#N/A</v>
      </c>
      <c r="C316" s="10" t="e">
        <f t="shared" si="47"/>
        <v>#N/A</v>
      </c>
      <c r="D316" s="11" t="str">
        <f>IF(ISERROR(B316),"",bsolve($B316,$E$2,$E$4,$E$8,$E$9))</f>
        <v/>
      </c>
      <c r="E316" s="11" t="str">
        <f t="shared" si="48"/>
        <v/>
      </c>
      <c r="F316" s="11" t="str">
        <f t="shared" si="51"/>
        <v/>
      </c>
      <c r="G316" s="11" t="str">
        <f t="shared" si="52"/>
        <v/>
      </c>
      <c r="H316" s="19" t="str">
        <f t="shared" si="49"/>
        <v/>
      </c>
      <c r="I316" s="21">
        <f t="shared" si="53"/>
        <v>0</v>
      </c>
      <c r="J316" s="21" t="e">
        <f t="shared" si="50"/>
        <v>#N/A</v>
      </c>
      <c r="K316" s="21" t="str">
        <f t="shared" si="54"/>
        <v/>
      </c>
    </row>
    <row r="317" spans="2:11" x14ac:dyDescent="0.25">
      <c r="B317" s="9" t="e">
        <f t="shared" si="55"/>
        <v>#N/A</v>
      </c>
      <c r="C317" s="10" t="e">
        <f t="shared" si="47"/>
        <v>#N/A</v>
      </c>
      <c r="D317" s="11" t="str">
        <f>IF(ISERROR(B317),"",bsolve($B317,$E$2,$E$4,$E$8,$E$9))</f>
        <v/>
      </c>
      <c r="E317" s="11" t="str">
        <f t="shared" si="48"/>
        <v/>
      </c>
      <c r="F317" s="11" t="str">
        <f t="shared" si="51"/>
        <v/>
      </c>
      <c r="G317" s="11" t="str">
        <f t="shared" si="52"/>
        <v/>
      </c>
      <c r="H317" s="19" t="str">
        <f t="shared" si="49"/>
        <v/>
      </c>
      <c r="I317" s="21">
        <f t="shared" si="53"/>
        <v>0</v>
      </c>
      <c r="J317" s="21" t="e">
        <f t="shared" si="50"/>
        <v>#N/A</v>
      </c>
      <c r="K317" s="21" t="str">
        <f t="shared" si="54"/>
        <v/>
      </c>
    </row>
    <row r="318" spans="2:11" x14ac:dyDescent="0.25">
      <c r="B318" s="9" t="e">
        <f t="shared" si="55"/>
        <v>#N/A</v>
      </c>
      <c r="C318" s="10" t="e">
        <f t="shared" si="47"/>
        <v>#N/A</v>
      </c>
      <c r="D318" s="11" t="str">
        <f>IF(ISERROR(B318),"",bsolve($B318,$E$2,$E$4,$E$8,$E$9))</f>
        <v/>
      </c>
      <c r="E318" s="11" t="str">
        <f t="shared" si="48"/>
        <v/>
      </c>
      <c r="F318" s="11" t="str">
        <f t="shared" si="51"/>
        <v/>
      </c>
      <c r="G318" s="11" t="str">
        <f t="shared" si="52"/>
        <v/>
      </c>
      <c r="H318" s="19" t="str">
        <f t="shared" si="49"/>
        <v/>
      </c>
      <c r="I318" s="21">
        <f t="shared" si="53"/>
        <v>0</v>
      </c>
      <c r="J318" s="21" t="e">
        <f t="shared" si="50"/>
        <v>#N/A</v>
      </c>
      <c r="K318" s="21" t="str">
        <f t="shared" si="54"/>
        <v/>
      </c>
    </row>
    <row r="319" spans="2:11" x14ac:dyDescent="0.25">
      <c r="B319" s="9" t="e">
        <f t="shared" si="55"/>
        <v>#N/A</v>
      </c>
      <c r="C319" s="10" t="e">
        <f t="shared" si="47"/>
        <v>#N/A</v>
      </c>
      <c r="D319" s="11" t="str">
        <f>IF(ISERROR(B319),"",bsolve($B319,$E$2,$E$4,$E$8,$E$9))</f>
        <v/>
      </c>
      <c r="E319" s="11" t="str">
        <f t="shared" si="48"/>
        <v/>
      </c>
      <c r="F319" s="11" t="str">
        <f t="shared" si="51"/>
        <v/>
      </c>
      <c r="G319" s="11" t="str">
        <f t="shared" si="52"/>
        <v/>
      </c>
      <c r="H319" s="19" t="str">
        <f t="shared" si="49"/>
        <v/>
      </c>
      <c r="I319" s="21">
        <f t="shared" si="53"/>
        <v>0</v>
      </c>
      <c r="J319" s="21" t="e">
        <f t="shared" si="50"/>
        <v>#N/A</v>
      </c>
      <c r="K319" s="21" t="str">
        <f t="shared" si="54"/>
        <v/>
      </c>
    </row>
    <row r="320" spans="2:11" x14ac:dyDescent="0.25">
      <c r="B320" s="9" t="e">
        <f t="shared" si="55"/>
        <v>#N/A</v>
      </c>
      <c r="C320" s="10" t="e">
        <f t="shared" si="47"/>
        <v>#N/A</v>
      </c>
      <c r="D320" s="11" t="str">
        <f>IF(ISERROR(B320),"",bsolve($B320,$E$2,$E$4,$E$8,$E$9))</f>
        <v/>
      </c>
      <c r="E320" s="11" t="str">
        <f t="shared" si="48"/>
        <v/>
      </c>
      <c r="F320" s="11" t="str">
        <f t="shared" si="51"/>
        <v/>
      </c>
      <c r="G320" s="11" t="str">
        <f t="shared" si="52"/>
        <v/>
      </c>
      <c r="H320" s="19" t="str">
        <f t="shared" si="49"/>
        <v/>
      </c>
      <c r="I320" s="21">
        <f t="shared" si="53"/>
        <v>0</v>
      </c>
      <c r="J320" s="21" t="e">
        <f t="shared" si="50"/>
        <v>#N/A</v>
      </c>
      <c r="K320" s="21" t="str">
        <f t="shared" si="54"/>
        <v/>
      </c>
    </row>
    <row r="321" spans="2:11" x14ac:dyDescent="0.25">
      <c r="B321" s="9" t="e">
        <f t="shared" si="55"/>
        <v>#N/A</v>
      </c>
      <c r="C321" s="10" t="e">
        <f t="shared" si="47"/>
        <v>#N/A</v>
      </c>
      <c r="D321" s="11" t="str">
        <f>IF(ISERROR(B321),"",bsolve($B321,$E$2,$E$4,$E$8,$E$9))</f>
        <v/>
      </c>
      <c r="E321" s="11" t="str">
        <f t="shared" si="48"/>
        <v/>
      </c>
      <c r="F321" s="11" t="str">
        <f t="shared" si="51"/>
        <v/>
      </c>
      <c r="G321" s="11" t="str">
        <f t="shared" si="52"/>
        <v/>
      </c>
      <c r="H321" s="19" t="str">
        <f t="shared" si="49"/>
        <v/>
      </c>
      <c r="I321" s="21">
        <f t="shared" si="53"/>
        <v>0</v>
      </c>
      <c r="J321" s="21" t="e">
        <f t="shared" si="50"/>
        <v>#N/A</v>
      </c>
      <c r="K321" s="21" t="str">
        <f t="shared" si="54"/>
        <v/>
      </c>
    </row>
    <row r="322" spans="2:11" x14ac:dyDescent="0.25">
      <c r="B322" s="9" t="e">
        <f t="shared" si="55"/>
        <v>#N/A</v>
      </c>
      <c r="C322" s="10" t="e">
        <f t="shared" si="47"/>
        <v>#N/A</v>
      </c>
      <c r="D322" s="11" t="str">
        <f>IF(ISERROR(B322),"",bsolve($B322,$E$2,$E$4,$E$8,$E$9))</f>
        <v/>
      </c>
      <c r="E322" s="11" t="str">
        <f t="shared" si="48"/>
        <v/>
      </c>
      <c r="F322" s="11" t="str">
        <f t="shared" si="51"/>
        <v/>
      </c>
      <c r="G322" s="11" t="str">
        <f t="shared" si="52"/>
        <v/>
      </c>
      <c r="H322" s="19" t="str">
        <f t="shared" si="49"/>
        <v/>
      </c>
      <c r="I322" s="21">
        <f t="shared" si="53"/>
        <v>0</v>
      </c>
      <c r="J322" s="21" t="e">
        <f t="shared" si="50"/>
        <v>#N/A</v>
      </c>
      <c r="K322" s="21" t="str">
        <f t="shared" si="54"/>
        <v/>
      </c>
    </row>
    <row r="323" spans="2:11" x14ac:dyDescent="0.25">
      <c r="B323" s="9" t="e">
        <f t="shared" si="55"/>
        <v>#N/A</v>
      </c>
      <c r="C323" s="10" t="e">
        <f t="shared" si="47"/>
        <v>#N/A</v>
      </c>
      <c r="D323" s="11" t="str">
        <f>IF(ISERROR(B323),"",bsolve($B323,$E$2,$E$4,$E$8,$E$9))</f>
        <v/>
      </c>
      <c r="E323" s="11" t="str">
        <f t="shared" si="48"/>
        <v/>
      </c>
      <c r="F323" s="11" t="str">
        <f t="shared" si="51"/>
        <v/>
      </c>
      <c r="G323" s="11" t="str">
        <f t="shared" si="52"/>
        <v/>
      </c>
      <c r="H323" s="19" t="str">
        <f t="shared" si="49"/>
        <v/>
      </c>
      <c r="I323" s="21">
        <f t="shared" si="53"/>
        <v>0</v>
      </c>
      <c r="J323" s="21" t="e">
        <f t="shared" si="50"/>
        <v>#N/A</v>
      </c>
      <c r="K323" s="21" t="str">
        <f t="shared" si="54"/>
        <v/>
      </c>
    </row>
    <row r="324" spans="2:11" x14ac:dyDescent="0.25">
      <c r="B324" s="9" t="e">
        <f t="shared" si="55"/>
        <v>#N/A</v>
      </c>
      <c r="C324" s="10" t="e">
        <f t="shared" si="47"/>
        <v>#N/A</v>
      </c>
      <c r="D324" s="11" t="str">
        <f>IF(ISERROR(B324),"",bsolve($B324,$E$2,$E$4,$E$8,$E$9))</f>
        <v/>
      </c>
      <c r="E324" s="11" t="str">
        <f t="shared" si="48"/>
        <v/>
      </c>
      <c r="F324" s="11" t="str">
        <f t="shared" si="51"/>
        <v/>
      </c>
      <c r="G324" s="11" t="str">
        <f t="shared" si="52"/>
        <v/>
      </c>
      <c r="H324" s="19" t="str">
        <f t="shared" si="49"/>
        <v/>
      </c>
      <c r="I324" s="21">
        <f t="shared" si="53"/>
        <v>0</v>
      </c>
      <c r="J324" s="21" t="e">
        <f t="shared" si="50"/>
        <v>#N/A</v>
      </c>
      <c r="K324" s="21" t="str">
        <f t="shared" si="54"/>
        <v/>
      </c>
    </row>
    <row r="325" spans="2:11" x14ac:dyDescent="0.25">
      <c r="B325" s="9" t="e">
        <f t="shared" si="55"/>
        <v>#N/A</v>
      </c>
      <c r="C325" s="10" t="e">
        <f t="shared" si="47"/>
        <v>#N/A</v>
      </c>
      <c r="D325" s="11" t="str">
        <f>IF(ISERROR(B325),"",bsolve($B325,$E$2,$E$4,$E$8,$E$9))</f>
        <v/>
      </c>
      <c r="E325" s="11" t="str">
        <f t="shared" si="48"/>
        <v/>
      </c>
      <c r="F325" s="11" t="str">
        <f t="shared" si="51"/>
        <v/>
      </c>
      <c r="G325" s="11" t="str">
        <f t="shared" si="52"/>
        <v/>
      </c>
      <c r="H325" s="19" t="str">
        <f t="shared" si="49"/>
        <v/>
      </c>
      <c r="I325" s="21">
        <f t="shared" si="53"/>
        <v>0</v>
      </c>
      <c r="J325" s="21" t="e">
        <f t="shared" si="50"/>
        <v>#N/A</v>
      </c>
      <c r="K325" s="21" t="str">
        <f t="shared" si="54"/>
        <v/>
      </c>
    </row>
    <row r="326" spans="2:11" x14ac:dyDescent="0.25">
      <c r="B326" s="9" t="e">
        <f t="shared" si="55"/>
        <v>#N/A</v>
      </c>
      <c r="C326" s="10" t="e">
        <f t="shared" si="47"/>
        <v>#N/A</v>
      </c>
      <c r="D326" s="11" t="str">
        <f>IF(ISERROR(B326),"",bsolve($B326,$E$2,$E$4,$E$8,$E$9))</f>
        <v/>
      </c>
      <c r="E326" s="11" t="str">
        <f t="shared" si="48"/>
        <v/>
      </c>
      <c r="F326" s="11" t="str">
        <f t="shared" si="51"/>
        <v/>
      </c>
      <c r="G326" s="11" t="str">
        <f t="shared" si="52"/>
        <v/>
      </c>
      <c r="H326" s="19" t="str">
        <f t="shared" si="49"/>
        <v/>
      </c>
      <c r="I326" s="21">
        <f t="shared" si="53"/>
        <v>0</v>
      </c>
      <c r="J326" s="21" t="e">
        <f t="shared" si="50"/>
        <v>#N/A</v>
      </c>
      <c r="K326" s="21" t="str">
        <f t="shared" si="54"/>
        <v/>
      </c>
    </row>
    <row r="327" spans="2:11" x14ac:dyDescent="0.25">
      <c r="B327" s="9" t="e">
        <f t="shared" si="55"/>
        <v>#N/A</v>
      </c>
      <c r="C327" s="10" t="e">
        <f t="shared" si="47"/>
        <v>#N/A</v>
      </c>
      <c r="D327" s="11" t="str">
        <f>IF(ISERROR(B327),"",bsolve($B327,$E$2,$E$4,$E$8,$E$9))</f>
        <v/>
      </c>
      <c r="E327" s="11" t="str">
        <f t="shared" si="48"/>
        <v/>
      </c>
      <c r="F327" s="11" t="str">
        <f t="shared" si="51"/>
        <v/>
      </c>
      <c r="G327" s="11" t="str">
        <f t="shared" si="52"/>
        <v/>
      </c>
      <c r="H327" s="19" t="str">
        <f t="shared" si="49"/>
        <v/>
      </c>
      <c r="I327" s="21">
        <f t="shared" si="53"/>
        <v>0</v>
      </c>
      <c r="J327" s="21" t="e">
        <f t="shared" si="50"/>
        <v>#N/A</v>
      </c>
      <c r="K327" s="21" t="str">
        <f t="shared" si="54"/>
        <v/>
      </c>
    </row>
    <row r="328" spans="2:11" x14ac:dyDescent="0.25">
      <c r="B328" s="9" t="e">
        <f t="shared" si="55"/>
        <v>#N/A</v>
      </c>
      <c r="C328" s="10" t="e">
        <f t="shared" si="47"/>
        <v>#N/A</v>
      </c>
      <c r="D328" s="11" t="str">
        <f>IF(ISERROR(B328),"",bsolve($B328,$E$2,$E$4,$E$8,$E$9))</f>
        <v/>
      </c>
      <c r="E328" s="11" t="str">
        <f t="shared" si="48"/>
        <v/>
      </c>
      <c r="F328" s="11" t="str">
        <f t="shared" si="51"/>
        <v/>
      </c>
      <c r="G328" s="11" t="str">
        <f t="shared" si="52"/>
        <v/>
      </c>
      <c r="H328" s="19" t="str">
        <f t="shared" si="49"/>
        <v/>
      </c>
      <c r="I328" s="21">
        <f t="shared" si="53"/>
        <v>0</v>
      </c>
      <c r="J328" s="21" t="e">
        <f t="shared" si="50"/>
        <v>#N/A</v>
      </c>
      <c r="K328" s="21" t="str">
        <f t="shared" si="54"/>
        <v/>
      </c>
    </row>
    <row r="329" spans="2:11" x14ac:dyDescent="0.25">
      <c r="B329" s="9" t="e">
        <f t="shared" si="55"/>
        <v>#N/A</v>
      </c>
      <c r="C329" s="10" t="e">
        <f t="shared" si="47"/>
        <v>#N/A</v>
      </c>
      <c r="D329" s="11" t="str">
        <f>IF(ISERROR(B329),"",bsolve($B329,$E$2,$E$4,$E$8,$E$9))</f>
        <v/>
      </c>
      <c r="E329" s="11" t="str">
        <f t="shared" si="48"/>
        <v/>
      </c>
      <c r="F329" s="11" t="str">
        <f t="shared" si="51"/>
        <v/>
      </c>
      <c r="G329" s="11" t="str">
        <f t="shared" si="52"/>
        <v/>
      </c>
      <c r="H329" s="19" t="str">
        <f t="shared" si="49"/>
        <v/>
      </c>
      <c r="I329" s="21">
        <f t="shared" si="53"/>
        <v>0</v>
      </c>
      <c r="J329" s="21" t="e">
        <f t="shared" si="50"/>
        <v>#N/A</v>
      </c>
      <c r="K329" s="21" t="str">
        <f t="shared" si="54"/>
        <v/>
      </c>
    </row>
    <row r="330" spans="2:11" x14ac:dyDescent="0.25">
      <c r="B330" s="9" t="e">
        <f t="shared" si="55"/>
        <v>#N/A</v>
      </c>
      <c r="C330" s="10" t="e">
        <f t="shared" si="47"/>
        <v>#N/A</v>
      </c>
      <c r="D330" s="11" t="str">
        <f>IF(ISERROR(B330),"",bsolve($B330,$E$2,$E$4,$E$8,$E$9))</f>
        <v/>
      </c>
      <c r="E330" s="11" t="str">
        <f t="shared" si="48"/>
        <v/>
      </c>
      <c r="F330" s="11" t="str">
        <f t="shared" si="51"/>
        <v/>
      </c>
      <c r="G330" s="11" t="str">
        <f t="shared" si="52"/>
        <v/>
      </c>
      <c r="H330" s="19" t="str">
        <f t="shared" si="49"/>
        <v/>
      </c>
      <c r="I330" s="21">
        <f t="shared" si="53"/>
        <v>0</v>
      </c>
      <c r="J330" s="21" t="e">
        <f t="shared" si="50"/>
        <v>#N/A</v>
      </c>
      <c r="K330" s="21" t="str">
        <f t="shared" si="54"/>
        <v/>
      </c>
    </row>
    <row r="331" spans="2:11" x14ac:dyDescent="0.25">
      <c r="B331" s="9" t="e">
        <f t="shared" si="55"/>
        <v>#N/A</v>
      </c>
      <c r="C331" s="10" t="e">
        <f t="shared" si="47"/>
        <v>#N/A</v>
      </c>
      <c r="D331" s="11" t="str">
        <f>IF(ISERROR(B331),"",bsolve($B331,$E$2,$E$4,$E$8,$E$9))</f>
        <v/>
      </c>
      <c r="E331" s="11" t="str">
        <f t="shared" si="48"/>
        <v/>
      </c>
      <c r="F331" s="11" t="str">
        <f t="shared" si="51"/>
        <v/>
      </c>
      <c r="G331" s="11" t="str">
        <f t="shared" si="52"/>
        <v/>
      </c>
      <c r="H331" s="19" t="str">
        <f t="shared" si="49"/>
        <v/>
      </c>
      <c r="I331" s="21">
        <f t="shared" si="53"/>
        <v>0</v>
      </c>
      <c r="J331" s="21" t="e">
        <f t="shared" si="50"/>
        <v>#N/A</v>
      </c>
      <c r="K331" s="21" t="str">
        <f t="shared" si="54"/>
        <v/>
      </c>
    </row>
    <row r="332" spans="2:11" x14ac:dyDescent="0.25">
      <c r="B332" s="9" t="e">
        <f t="shared" si="55"/>
        <v>#N/A</v>
      </c>
      <c r="C332" s="10" t="e">
        <f t="shared" si="47"/>
        <v>#N/A</v>
      </c>
      <c r="D332" s="11" t="str">
        <f>IF(ISERROR(B332),"",bsolve($B332,$E$2,$E$4,$E$8,$E$9))</f>
        <v/>
      </c>
      <c r="E332" s="11" t="str">
        <f t="shared" si="48"/>
        <v/>
      </c>
      <c r="F332" s="11" t="str">
        <f t="shared" si="51"/>
        <v/>
      </c>
      <c r="G332" s="11" t="str">
        <f t="shared" si="52"/>
        <v/>
      </c>
      <c r="H332" s="19" t="str">
        <f t="shared" si="49"/>
        <v/>
      </c>
      <c r="I332" s="21">
        <f t="shared" si="53"/>
        <v>0</v>
      </c>
      <c r="J332" s="21" t="e">
        <f t="shared" si="50"/>
        <v>#N/A</v>
      </c>
      <c r="K332" s="21" t="str">
        <f t="shared" si="54"/>
        <v/>
      </c>
    </row>
    <row r="333" spans="2:11" x14ac:dyDescent="0.25">
      <c r="B333" s="9" t="e">
        <f t="shared" si="55"/>
        <v>#N/A</v>
      </c>
      <c r="C333" s="10" t="e">
        <f t="shared" si="47"/>
        <v>#N/A</v>
      </c>
      <c r="D333" s="11" t="str">
        <f>IF(ISERROR(B333),"",bsolve($B333,$E$2,$E$4,$E$8,$E$9))</f>
        <v/>
      </c>
      <c r="E333" s="11" t="str">
        <f t="shared" si="48"/>
        <v/>
      </c>
      <c r="F333" s="11" t="str">
        <f t="shared" si="51"/>
        <v/>
      </c>
      <c r="G333" s="11" t="str">
        <f t="shared" si="52"/>
        <v/>
      </c>
      <c r="H333" s="19" t="str">
        <f t="shared" si="49"/>
        <v/>
      </c>
      <c r="I333" s="21">
        <f t="shared" si="53"/>
        <v>0</v>
      </c>
      <c r="J333" s="21" t="e">
        <f t="shared" si="50"/>
        <v>#N/A</v>
      </c>
      <c r="K333" s="21" t="str">
        <f t="shared" si="54"/>
        <v/>
      </c>
    </row>
    <row r="334" spans="2:11" x14ac:dyDescent="0.25">
      <c r="B334" s="9" t="e">
        <f t="shared" si="55"/>
        <v>#N/A</v>
      </c>
      <c r="C334" s="10" t="e">
        <f t="shared" si="47"/>
        <v>#N/A</v>
      </c>
      <c r="D334" s="11" t="str">
        <f>IF(ISERROR(B334),"",bsolve($B334,$E$2,$E$4,$E$8,$E$9))</f>
        <v/>
      </c>
      <c r="E334" s="11" t="str">
        <f t="shared" si="48"/>
        <v/>
      </c>
      <c r="F334" s="11" t="str">
        <f t="shared" si="51"/>
        <v/>
      </c>
      <c r="G334" s="11" t="str">
        <f t="shared" si="52"/>
        <v/>
      </c>
      <c r="H334" s="19" t="str">
        <f t="shared" si="49"/>
        <v/>
      </c>
      <c r="I334" s="21">
        <f t="shared" si="53"/>
        <v>0</v>
      </c>
      <c r="J334" s="21" t="e">
        <f t="shared" si="50"/>
        <v>#N/A</v>
      </c>
      <c r="K334" s="21" t="str">
        <f t="shared" si="54"/>
        <v/>
      </c>
    </row>
    <row r="335" spans="2:11" x14ac:dyDescent="0.25">
      <c r="B335" s="9" t="e">
        <f t="shared" si="55"/>
        <v>#N/A</v>
      </c>
      <c r="C335" s="10" t="e">
        <f t="shared" si="47"/>
        <v>#N/A</v>
      </c>
      <c r="D335" s="11" t="str">
        <f>IF(ISERROR(B335),"",bsolve($B335,$E$2,$E$4,$E$8,$E$9))</f>
        <v/>
      </c>
      <c r="E335" s="11" t="str">
        <f t="shared" si="48"/>
        <v/>
      </c>
      <c r="F335" s="11" t="str">
        <f t="shared" si="51"/>
        <v/>
      </c>
      <c r="G335" s="11" t="str">
        <f t="shared" si="52"/>
        <v/>
      </c>
      <c r="H335" s="19" t="str">
        <f t="shared" si="49"/>
        <v/>
      </c>
      <c r="I335" s="21">
        <f t="shared" si="53"/>
        <v>0</v>
      </c>
      <c r="J335" s="21" t="e">
        <f t="shared" si="50"/>
        <v>#N/A</v>
      </c>
      <c r="K335" s="21" t="str">
        <f t="shared" si="54"/>
        <v/>
      </c>
    </row>
    <row r="336" spans="2:11" x14ac:dyDescent="0.25">
      <c r="B336" s="9" t="e">
        <f t="shared" si="55"/>
        <v>#N/A</v>
      </c>
      <c r="C336" s="10" t="e">
        <f t="shared" si="47"/>
        <v>#N/A</v>
      </c>
      <c r="D336" s="11" t="str">
        <f>IF(ISERROR(B336),"",bsolve($B336,$E$2,$E$4,$E$8,$E$9))</f>
        <v/>
      </c>
      <c r="E336" s="11" t="str">
        <f t="shared" si="48"/>
        <v/>
      </c>
      <c r="F336" s="11" t="str">
        <f t="shared" si="51"/>
        <v/>
      </c>
      <c r="G336" s="11" t="str">
        <f t="shared" si="52"/>
        <v/>
      </c>
      <c r="H336" s="19" t="str">
        <f t="shared" si="49"/>
        <v/>
      </c>
      <c r="I336" s="21">
        <f t="shared" si="53"/>
        <v>0</v>
      </c>
      <c r="J336" s="21" t="e">
        <f t="shared" si="50"/>
        <v>#N/A</v>
      </c>
      <c r="K336" s="21" t="str">
        <f t="shared" si="54"/>
        <v/>
      </c>
    </row>
    <row r="337" spans="2:11" x14ac:dyDescent="0.25">
      <c r="B337" s="9" t="e">
        <f t="shared" si="55"/>
        <v>#N/A</v>
      </c>
      <c r="C337" s="10" t="e">
        <f t="shared" si="47"/>
        <v>#N/A</v>
      </c>
      <c r="D337" s="11" t="str">
        <f>IF(ISERROR(B337),"",bsolve($B337,$E$2,$E$4,$E$8,$E$9))</f>
        <v/>
      </c>
      <c r="E337" s="11" t="str">
        <f t="shared" si="48"/>
        <v/>
      </c>
      <c r="F337" s="11" t="str">
        <f t="shared" si="51"/>
        <v/>
      </c>
      <c r="G337" s="11" t="str">
        <f t="shared" si="52"/>
        <v/>
      </c>
      <c r="H337" s="19" t="str">
        <f t="shared" si="49"/>
        <v/>
      </c>
      <c r="I337" s="21">
        <f t="shared" si="53"/>
        <v>0</v>
      </c>
      <c r="J337" s="21" t="e">
        <f t="shared" si="50"/>
        <v>#N/A</v>
      </c>
      <c r="K337" s="21" t="str">
        <f t="shared" si="54"/>
        <v/>
      </c>
    </row>
    <row r="338" spans="2:11" x14ac:dyDescent="0.25">
      <c r="B338" s="9" t="e">
        <f t="shared" si="55"/>
        <v>#N/A</v>
      </c>
      <c r="C338" s="10" t="e">
        <f t="shared" ref="C338:C401" si="56">IF(B338="","",100*B338/$E$2)</f>
        <v>#N/A</v>
      </c>
      <c r="D338" s="11" t="str">
        <f>IF(ISERROR(B338),"",bsolve($B338,$E$2,$E$4,$E$8,$E$9))</f>
        <v/>
      </c>
      <c r="E338" s="11" t="str">
        <f t="shared" ref="E338:E401" si="57">IF(ISERROR(B338),"",IF(AND($E$7&lt;$E$5,C338&gt;=($E$5*100)),D338,0))</f>
        <v/>
      </c>
      <c r="F338" s="11" t="str">
        <f t="shared" si="51"/>
        <v/>
      </c>
      <c r="G338" s="11" t="str">
        <f t="shared" si="52"/>
        <v/>
      </c>
      <c r="H338" s="19" t="str">
        <f t="shared" ref="H338:H401" si="58">IF(ISERROR(B338),"",100*((B338*(1-$E$9))+($E$2-B338)*$E$8)/$E$2)</f>
        <v/>
      </c>
      <c r="I338" s="21">
        <f t="shared" si="53"/>
        <v>0</v>
      </c>
      <c r="J338" s="21" t="e">
        <f t="shared" ref="J338:J401" si="59">IF(ISERROR(B338),NA(),IF(AND(H338&gt;=$E$5*100,B338/$E$2&lt;$E$5),H338,NA()))</f>
        <v>#N/A</v>
      </c>
      <c r="K338" s="21" t="str">
        <f t="shared" si="54"/>
        <v/>
      </c>
    </row>
    <row r="339" spans="2:11" x14ac:dyDescent="0.25">
      <c r="B339" s="9" t="e">
        <f t="shared" si="55"/>
        <v>#N/A</v>
      </c>
      <c r="C339" s="10" t="e">
        <f t="shared" si="56"/>
        <v>#N/A</v>
      </c>
      <c r="D339" s="11" t="str">
        <f>IF(ISERROR(B339),"",bsolve($B339,$E$2,$E$4,$E$8,$E$9))</f>
        <v/>
      </c>
      <c r="E339" s="11" t="str">
        <f t="shared" si="57"/>
        <v/>
      </c>
      <c r="F339" s="11" t="str">
        <f t="shared" ref="F339:F402" si="60">IF(ISERROR(B339),"",IF(AND($E$7&gt;=$E$5,C339&lt;($E$5*100)),D339,0))</f>
        <v/>
      </c>
      <c r="G339" s="11" t="str">
        <f t="shared" ref="G339:G402" si="61">IF(ISERROR(B339),"",IF(C339&gt;=$E$5*100,D339,""))</f>
        <v/>
      </c>
      <c r="H339" s="19" t="str">
        <f t="shared" si="58"/>
        <v/>
      </c>
      <c r="I339" s="21">
        <f t="shared" ref="I339:I402" si="62">IF(NOT(ISERROR(J339)),B339,0)</f>
        <v>0</v>
      </c>
      <c r="J339" s="21" t="e">
        <f t="shared" si="59"/>
        <v>#N/A</v>
      </c>
      <c r="K339" s="21" t="str">
        <f t="shared" ref="K339:K402" si="63">IF(AND(I339=0,I340&gt;0),B339,"")</f>
        <v/>
      </c>
    </row>
    <row r="340" spans="2:11" x14ac:dyDescent="0.25">
      <c r="B340" s="9" t="e">
        <f t="shared" ref="B340:B403" si="64">IF(ROW()-18&lt;=$E$2,B339+1,NA())</f>
        <v>#N/A</v>
      </c>
      <c r="C340" s="10" t="e">
        <f t="shared" si="56"/>
        <v>#N/A</v>
      </c>
      <c r="D340" s="11" t="str">
        <f>IF(ISERROR(B340),"",bsolve($B340,$E$2,$E$4,$E$8,$E$9))</f>
        <v/>
      </c>
      <c r="E340" s="11" t="str">
        <f t="shared" si="57"/>
        <v/>
      </c>
      <c r="F340" s="11" t="str">
        <f t="shared" si="60"/>
        <v/>
      </c>
      <c r="G340" s="11" t="str">
        <f t="shared" si="61"/>
        <v/>
      </c>
      <c r="H340" s="19" t="str">
        <f t="shared" si="58"/>
        <v/>
      </c>
      <c r="I340" s="21">
        <f t="shared" si="62"/>
        <v>0</v>
      </c>
      <c r="J340" s="21" t="e">
        <f t="shared" si="59"/>
        <v>#N/A</v>
      </c>
      <c r="K340" s="21" t="str">
        <f t="shared" si="63"/>
        <v/>
      </c>
    </row>
    <row r="341" spans="2:11" x14ac:dyDescent="0.25">
      <c r="B341" s="9" t="e">
        <f t="shared" si="64"/>
        <v>#N/A</v>
      </c>
      <c r="C341" s="10" t="e">
        <f t="shared" si="56"/>
        <v>#N/A</v>
      </c>
      <c r="D341" s="11" t="str">
        <f>IF(ISERROR(B341),"",bsolve($B341,$E$2,$E$4,$E$8,$E$9))</f>
        <v/>
      </c>
      <c r="E341" s="11" t="str">
        <f t="shared" si="57"/>
        <v/>
      </c>
      <c r="F341" s="11" t="str">
        <f t="shared" si="60"/>
        <v/>
      </c>
      <c r="G341" s="11" t="str">
        <f t="shared" si="61"/>
        <v/>
      </c>
      <c r="H341" s="19" t="str">
        <f t="shared" si="58"/>
        <v/>
      </c>
      <c r="I341" s="21">
        <f t="shared" si="62"/>
        <v>0</v>
      </c>
      <c r="J341" s="21" t="e">
        <f t="shared" si="59"/>
        <v>#N/A</v>
      </c>
      <c r="K341" s="21" t="str">
        <f t="shared" si="63"/>
        <v/>
      </c>
    </row>
    <row r="342" spans="2:11" x14ac:dyDescent="0.25">
      <c r="B342" s="9" t="e">
        <f t="shared" si="64"/>
        <v>#N/A</v>
      </c>
      <c r="C342" s="10" t="e">
        <f t="shared" si="56"/>
        <v>#N/A</v>
      </c>
      <c r="D342" s="11" t="str">
        <f>IF(ISERROR(B342),"",bsolve($B342,$E$2,$E$4,$E$8,$E$9))</f>
        <v/>
      </c>
      <c r="E342" s="11" t="str">
        <f t="shared" si="57"/>
        <v/>
      </c>
      <c r="F342" s="11" t="str">
        <f t="shared" si="60"/>
        <v/>
      </c>
      <c r="G342" s="11" t="str">
        <f t="shared" si="61"/>
        <v/>
      </c>
      <c r="H342" s="19" t="str">
        <f t="shared" si="58"/>
        <v/>
      </c>
      <c r="I342" s="21">
        <f t="shared" si="62"/>
        <v>0</v>
      </c>
      <c r="J342" s="21" t="e">
        <f t="shared" si="59"/>
        <v>#N/A</v>
      </c>
      <c r="K342" s="21" t="str">
        <f t="shared" si="63"/>
        <v/>
      </c>
    </row>
    <row r="343" spans="2:11" x14ac:dyDescent="0.25">
      <c r="B343" s="9" t="e">
        <f t="shared" si="64"/>
        <v>#N/A</v>
      </c>
      <c r="C343" s="10" t="e">
        <f t="shared" si="56"/>
        <v>#N/A</v>
      </c>
      <c r="D343" s="11" t="str">
        <f>IF(ISERROR(B343),"",bsolve($B343,$E$2,$E$4,$E$8,$E$9))</f>
        <v/>
      </c>
      <c r="E343" s="11" t="str">
        <f t="shared" si="57"/>
        <v/>
      </c>
      <c r="F343" s="11" t="str">
        <f t="shared" si="60"/>
        <v/>
      </c>
      <c r="G343" s="11" t="str">
        <f t="shared" si="61"/>
        <v/>
      </c>
      <c r="H343" s="19" t="str">
        <f t="shared" si="58"/>
        <v/>
      </c>
      <c r="I343" s="21">
        <f t="shared" si="62"/>
        <v>0</v>
      </c>
      <c r="J343" s="21" t="e">
        <f t="shared" si="59"/>
        <v>#N/A</v>
      </c>
      <c r="K343" s="21" t="str">
        <f t="shared" si="63"/>
        <v/>
      </c>
    </row>
    <row r="344" spans="2:11" x14ac:dyDescent="0.25">
      <c r="B344" s="9" t="e">
        <f t="shared" si="64"/>
        <v>#N/A</v>
      </c>
      <c r="C344" s="10" t="e">
        <f t="shared" si="56"/>
        <v>#N/A</v>
      </c>
      <c r="D344" s="11" t="str">
        <f>IF(ISERROR(B344),"",bsolve($B344,$E$2,$E$4,$E$8,$E$9))</f>
        <v/>
      </c>
      <c r="E344" s="11" t="str">
        <f t="shared" si="57"/>
        <v/>
      </c>
      <c r="F344" s="11" t="str">
        <f t="shared" si="60"/>
        <v/>
      </c>
      <c r="G344" s="11" t="str">
        <f t="shared" si="61"/>
        <v/>
      </c>
      <c r="H344" s="19" t="str">
        <f t="shared" si="58"/>
        <v/>
      </c>
      <c r="I344" s="21">
        <f t="shared" si="62"/>
        <v>0</v>
      </c>
      <c r="J344" s="21" t="e">
        <f t="shared" si="59"/>
        <v>#N/A</v>
      </c>
      <c r="K344" s="21" t="str">
        <f t="shared" si="63"/>
        <v/>
      </c>
    </row>
    <row r="345" spans="2:11" x14ac:dyDescent="0.25">
      <c r="B345" s="9" t="e">
        <f t="shared" si="64"/>
        <v>#N/A</v>
      </c>
      <c r="C345" s="10" t="e">
        <f t="shared" si="56"/>
        <v>#N/A</v>
      </c>
      <c r="D345" s="11" t="str">
        <f>IF(ISERROR(B345),"",bsolve($B345,$E$2,$E$4,$E$8,$E$9))</f>
        <v/>
      </c>
      <c r="E345" s="11" t="str">
        <f t="shared" si="57"/>
        <v/>
      </c>
      <c r="F345" s="11" t="str">
        <f t="shared" si="60"/>
        <v/>
      </c>
      <c r="G345" s="11" t="str">
        <f t="shared" si="61"/>
        <v/>
      </c>
      <c r="H345" s="19" t="str">
        <f t="shared" si="58"/>
        <v/>
      </c>
      <c r="I345" s="21">
        <f t="shared" si="62"/>
        <v>0</v>
      </c>
      <c r="J345" s="21" t="e">
        <f t="shared" si="59"/>
        <v>#N/A</v>
      </c>
      <c r="K345" s="21" t="str">
        <f t="shared" si="63"/>
        <v/>
      </c>
    </row>
    <row r="346" spans="2:11" x14ac:dyDescent="0.25">
      <c r="B346" s="9" t="e">
        <f t="shared" si="64"/>
        <v>#N/A</v>
      </c>
      <c r="C346" s="10" t="e">
        <f t="shared" si="56"/>
        <v>#N/A</v>
      </c>
      <c r="D346" s="11" t="str">
        <f>IF(ISERROR(B346),"",bsolve($B346,$E$2,$E$4,$E$8,$E$9))</f>
        <v/>
      </c>
      <c r="E346" s="11" t="str">
        <f t="shared" si="57"/>
        <v/>
      </c>
      <c r="F346" s="11" t="str">
        <f t="shared" si="60"/>
        <v/>
      </c>
      <c r="G346" s="11" t="str">
        <f t="shared" si="61"/>
        <v/>
      </c>
      <c r="H346" s="19" t="str">
        <f t="shared" si="58"/>
        <v/>
      </c>
      <c r="I346" s="21">
        <f t="shared" si="62"/>
        <v>0</v>
      </c>
      <c r="J346" s="21" t="e">
        <f t="shared" si="59"/>
        <v>#N/A</v>
      </c>
      <c r="K346" s="21" t="str">
        <f t="shared" si="63"/>
        <v/>
      </c>
    </row>
    <row r="347" spans="2:11" x14ac:dyDescent="0.25">
      <c r="B347" s="9" t="e">
        <f t="shared" si="64"/>
        <v>#N/A</v>
      </c>
      <c r="C347" s="10" t="e">
        <f t="shared" si="56"/>
        <v>#N/A</v>
      </c>
      <c r="D347" s="11" t="str">
        <f>IF(ISERROR(B347),"",bsolve($B347,$E$2,$E$4,$E$8,$E$9))</f>
        <v/>
      </c>
      <c r="E347" s="11" t="str">
        <f t="shared" si="57"/>
        <v/>
      </c>
      <c r="F347" s="11" t="str">
        <f t="shared" si="60"/>
        <v/>
      </c>
      <c r="G347" s="11" t="str">
        <f t="shared" si="61"/>
        <v/>
      </c>
      <c r="H347" s="19" t="str">
        <f t="shared" si="58"/>
        <v/>
      </c>
      <c r="I347" s="21">
        <f t="shared" si="62"/>
        <v>0</v>
      </c>
      <c r="J347" s="21" t="e">
        <f t="shared" si="59"/>
        <v>#N/A</v>
      </c>
      <c r="K347" s="21" t="str">
        <f t="shared" si="63"/>
        <v/>
      </c>
    </row>
    <row r="348" spans="2:11" x14ac:dyDescent="0.25">
      <c r="B348" s="9" t="e">
        <f t="shared" si="64"/>
        <v>#N/A</v>
      </c>
      <c r="C348" s="10" t="e">
        <f t="shared" si="56"/>
        <v>#N/A</v>
      </c>
      <c r="D348" s="11" t="str">
        <f>IF(ISERROR(B348),"",bsolve($B348,$E$2,$E$4,$E$8,$E$9))</f>
        <v/>
      </c>
      <c r="E348" s="11" t="str">
        <f t="shared" si="57"/>
        <v/>
      </c>
      <c r="F348" s="11" t="str">
        <f t="shared" si="60"/>
        <v/>
      </c>
      <c r="G348" s="11" t="str">
        <f t="shared" si="61"/>
        <v/>
      </c>
      <c r="H348" s="19" t="str">
        <f t="shared" si="58"/>
        <v/>
      </c>
      <c r="I348" s="21">
        <f t="shared" si="62"/>
        <v>0</v>
      </c>
      <c r="J348" s="21" t="e">
        <f t="shared" si="59"/>
        <v>#N/A</v>
      </c>
      <c r="K348" s="21" t="str">
        <f t="shared" si="63"/>
        <v/>
      </c>
    </row>
    <row r="349" spans="2:11" x14ac:dyDescent="0.25">
      <c r="B349" s="9" t="e">
        <f t="shared" si="64"/>
        <v>#N/A</v>
      </c>
      <c r="C349" s="10" t="e">
        <f t="shared" si="56"/>
        <v>#N/A</v>
      </c>
      <c r="D349" s="11" t="str">
        <f>IF(ISERROR(B349),"",bsolve($B349,$E$2,$E$4,$E$8,$E$9))</f>
        <v/>
      </c>
      <c r="E349" s="11" t="str">
        <f t="shared" si="57"/>
        <v/>
      </c>
      <c r="F349" s="11" t="str">
        <f t="shared" si="60"/>
        <v/>
      </c>
      <c r="G349" s="11" t="str">
        <f t="shared" si="61"/>
        <v/>
      </c>
      <c r="H349" s="19" t="str">
        <f t="shared" si="58"/>
        <v/>
      </c>
      <c r="I349" s="21">
        <f t="shared" si="62"/>
        <v>0</v>
      </c>
      <c r="J349" s="21" t="e">
        <f t="shared" si="59"/>
        <v>#N/A</v>
      </c>
      <c r="K349" s="21" t="str">
        <f t="shared" si="63"/>
        <v/>
      </c>
    </row>
    <row r="350" spans="2:11" x14ac:dyDescent="0.25">
      <c r="B350" s="9" t="e">
        <f t="shared" si="64"/>
        <v>#N/A</v>
      </c>
      <c r="C350" s="10" t="e">
        <f t="shared" si="56"/>
        <v>#N/A</v>
      </c>
      <c r="D350" s="11" t="str">
        <f>IF(ISERROR(B350),"",bsolve($B350,$E$2,$E$4,$E$8,$E$9))</f>
        <v/>
      </c>
      <c r="E350" s="11" t="str">
        <f t="shared" si="57"/>
        <v/>
      </c>
      <c r="F350" s="11" t="str">
        <f t="shared" si="60"/>
        <v/>
      </c>
      <c r="G350" s="11" t="str">
        <f t="shared" si="61"/>
        <v/>
      </c>
      <c r="H350" s="19" t="str">
        <f t="shared" si="58"/>
        <v/>
      </c>
      <c r="I350" s="21">
        <f t="shared" si="62"/>
        <v>0</v>
      </c>
      <c r="J350" s="21" t="e">
        <f t="shared" si="59"/>
        <v>#N/A</v>
      </c>
      <c r="K350" s="21" t="str">
        <f t="shared" si="63"/>
        <v/>
      </c>
    </row>
    <row r="351" spans="2:11" x14ac:dyDescent="0.25">
      <c r="B351" s="9" t="e">
        <f t="shared" si="64"/>
        <v>#N/A</v>
      </c>
      <c r="C351" s="10" t="e">
        <f t="shared" si="56"/>
        <v>#N/A</v>
      </c>
      <c r="D351" s="11" t="str">
        <f>IF(ISERROR(B351),"",bsolve($B351,$E$2,$E$4,$E$8,$E$9))</f>
        <v/>
      </c>
      <c r="E351" s="11" t="str">
        <f t="shared" si="57"/>
        <v/>
      </c>
      <c r="F351" s="11" t="str">
        <f t="shared" si="60"/>
        <v/>
      </c>
      <c r="G351" s="11" t="str">
        <f t="shared" si="61"/>
        <v/>
      </c>
      <c r="H351" s="19" t="str">
        <f t="shared" si="58"/>
        <v/>
      </c>
      <c r="I351" s="21">
        <f t="shared" si="62"/>
        <v>0</v>
      </c>
      <c r="J351" s="21" t="e">
        <f t="shared" si="59"/>
        <v>#N/A</v>
      </c>
      <c r="K351" s="21" t="str">
        <f t="shared" si="63"/>
        <v/>
      </c>
    </row>
    <row r="352" spans="2:11" x14ac:dyDescent="0.25">
      <c r="B352" s="9" t="e">
        <f t="shared" si="64"/>
        <v>#N/A</v>
      </c>
      <c r="C352" s="10" t="e">
        <f t="shared" si="56"/>
        <v>#N/A</v>
      </c>
      <c r="D352" s="11" t="str">
        <f>IF(ISERROR(B352),"",bsolve($B352,$E$2,$E$4,$E$8,$E$9))</f>
        <v/>
      </c>
      <c r="E352" s="11" t="str">
        <f t="shared" si="57"/>
        <v/>
      </c>
      <c r="F352" s="11" t="str">
        <f t="shared" si="60"/>
        <v/>
      </c>
      <c r="G352" s="11" t="str">
        <f t="shared" si="61"/>
        <v/>
      </c>
      <c r="H352" s="19" t="str">
        <f t="shared" si="58"/>
        <v/>
      </c>
      <c r="I352" s="21">
        <f t="shared" si="62"/>
        <v>0</v>
      </c>
      <c r="J352" s="21" t="e">
        <f t="shared" si="59"/>
        <v>#N/A</v>
      </c>
      <c r="K352" s="21" t="str">
        <f t="shared" si="63"/>
        <v/>
      </c>
    </row>
    <row r="353" spans="2:11" x14ac:dyDescent="0.25">
      <c r="B353" s="9" t="e">
        <f t="shared" si="64"/>
        <v>#N/A</v>
      </c>
      <c r="C353" s="10" t="e">
        <f t="shared" si="56"/>
        <v>#N/A</v>
      </c>
      <c r="D353" s="11" t="str">
        <f>IF(ISERROR(B353),"",bsolve($B353,$E$2,$E$4,$E$8,$E$9))</f>
        <v/>
      </c>
      <c r="E353" s="11" t="str">
        <f t="shared" si="57"/>
        <v/>
      </c>
      <c r="F353" s="11" t="str">
        <f t="shared" si="60"/>
        <v/>
      </c>
      <c r="G353" s="11" t="str">
        <f t="shared" si="61"/>
        <v/>
      </c>
      <c r="H353" s="19" t="str">
        <f t="shared" si="58"/>
        <v/>
      </c>
      <c r="I353" s="21">
        <f t="shared" si="62"/>
        <v>0</v>
      </c>
      <c r="J353" s="21" t="e">
        <f t="shared" si="59"/>
        <v>#N/A</v>
      </c>
      <c r="K353" s="21" t="str">
        <f t="shared" si="63"/>
        <v/>
      </c>
    </row>
    <row r="354" spans="2:11" x14ac:dyDescent="0.25">
      <c r="B354" s="9" t="e">
        <f t="shared" si="64"/>
        <v>#N/A</v>
      </c>
      <c r="C354" s="10" t="e">
        <f t="shared" si="56"/>
        <v>#N/A</v>
      </c>
      <c r="D354" s="11" t="str">
        <f>IF(ISERROR(B354),"",bsolve($B354,$E$2,$E$4,$E$8,$E$9))</f>
        <v/>
      </c>
      <c r="E354" s="11" t="str">
        <f t="shared" si="57"/>
        <v/>
      </c>
      <c r="F354" s="11" t="str">
        <f t="shared" si="60"/>
        <v/>
      </c>
      <c r="G354" s="11" t="str">
        <f t="shared" si="61"/>
        <v/>
      </c>
      <c r="H354" s="19" t="str">
        <f t="shared" si="58"/>
        <v/>
      </c>
      <c r="I354" s="21">
        <f t="shared" si="62"/>
        <v>0</v>
      </c>
      <c r="J354" s="21" t="e">
        <f t="shared" si="59"/>
        <v>#N/A</v>
      </c>
      <c r="K354" s="21" t="str">
        <f t="shared" si="63"/>
        <v/>
      </c>
    </row>
    <row r="355" spans="2:11" x14ac:dyDescent="0.25">
      <c r="B355" s="9" t="e">
        <f t="shared" si="64"/>
        <v>#N/A</v>
      </c>
      <c r="C355" s="10" t="e">
        <f t="shared" si="56"/>
        <v>#N/A</v>
      </c>
      <c r="D355" s="11" t="str">
        <f>IF(ISERROR(B355),"",bsolve($B355,$E$2,$E$4,$E$8,$E$9))</f>
        <v/>
      </c>
      <c r="E355" s="11" t="str">
        <f t="shared" si="57"/>
        <v/>
      </c>
      <c r="F355" s="11" t="str">
        <f t="shared" si="60"/>
        <v/>
      </c>
      <c r="G355" s="11" t="str">
        <f t="shared" si="61"/>
        <v/>
      </c>
      <c r="H355" s="19" t="str">
        <f t="shared" si="58"/>
        <v/>
      </c>
      <c r="I355" s="21">
        <f t="shared" si="62"/>
        <v>0</v>
      </c>
      <c r="J355" s="21" t="e">
        <f t="shared" si="59"/>
        <v>#N/A</v>
      </c>
      <c r="K355" s="21" t="str">
        <f t="shared" si="63"/>
        <v/>
      </c>
    </row>
    <row r="356" spans="2:11" x14ac:dyDescent="0.25">
      <c r="B356" s="9" t="e">
        <f t="shared" si="64"/>
        <v>#N/A</v>
      </c>
      <c r="C356" s="10" t="e">
        <f t="shared" si="56"/>
        <v>#N/A</v>
      </c>
      <c r="D356" s="11" t="str">
        <f>IF(ISERROR(B356),"",bsolve($B356,$E$2,$E$4,$E$8,$E$9))</f>
        <v/>
      </c>
      <c r="E356" s="11" t="str">
        <f t="shared" si="57"/>
        <v/>
      </c>
      <c r="F356" s="11" t="str">
        <f t="shared" si="60"/>
        <v/>
      </c>
      <c r="G356" s="11" t="str">
        <f t="shared" si="61"/>
        <v/>
      </c>
      <c r="H356" s="19" t="str">
        <f t="shared" si="58"/>
        <v/>
      </c>
      <c r="I356" s="21">
        <f t="shared" si="62"/>
        <v>0</v>
      </c>
      <c r="J356" s="21" t="e">
        <f t="shared" si="59"/>
        <v>#N/A</v>
      </c>
      <c r="K356" s="21" t="str">
        <f t="shared" si="63"/>
        <v/>
      </c>
    </row>
    <row r="357" spans="2:11" x14ac:dyDescent="0.25">
      <c r="B357" s="9" t="e">
        <f t="shared" si="64"/>
        <v>#N/A</v>
      </c>
      <c r="C357" s="10" t="e">
        <f t="shared" si="56"/>
        <v>#N/A</v>
      </c>
      <c r="D357" s="11" t="str">
        <f>IF(ISERROR(B357),"",bsolve($B357,$E$2,$E$4,$E$8,$E$9))</f>
        <v/>
      </c>
      <c r="E357" s="11" t="str">
        <f t="shared" si="57"/>
        <v/>
      </c>
      <c r="F357" s="11" t="str">
        <f t="shared" si="60"/>
        <v/>
      </c>
      <c r="G357" s="11" t="str">
        <f t="shared" si="61"/>
        <v/>
      </c>
      <c r="H357" s="19" t="str">
        <f t="shared" si="58"/>
        <v/>
      </c>
      <c r="I357" s="21">
        <f t="shared" si="62"/>
        <v>0</v>
      </c>
      <c r="J357" s="21" t="e">
        <f t="shared" si="59"/>
        <v>#N/A</v>
      </c>
      <c r="K357" s="21" t="str">
        <f t="shared" si="63"/>
        <v/>
      </c>
    </row>
    <row r="358" spans="2:11" x14ac:dyDescent="0.25">
      <c r="B358" s="9" t="e">
        <f t="shared" si="64"/>
        <v>#N/A</v>
      </c>
      <c r="C358" s="10" t="e">
        <f t="shared" si="56"/>
        <v>#N/A</v>
      </c>
      <c r="D358" s="11" t="str">
        <f>IF(ISERROR(B358),"",bsolve($B358,$E$2,$E$4,$E$8,$E$9))</f>
        <v/>
      </c>
      <c r="E358" s="11" t="str">
        <f t="shared" si="57"/>
        <v/>
      </c>
      <c r="F358" s="11" t="str">
        <f t="shared" si="60"/>
        <v/>
      </c>
      <c r="G358" s="11" t="str">
        <f t="shared" si="61"/>
        <v/>
      </c>
      <c r="H358" s="19" t="str">
        <f t="shared" si="58"/>
        <v/>
      </c>
      <c r="I358" s="21">
        <f t="shared" si="62"/>
        <v>0</v>
      </c>
      <c r="J358" s="21" t="e">
        <f t="shared" si="59"/>
        <v>#N/A</v>
      </c>
      <c r="K358" s="21" t="str">
        <f t="shared" si="63"/>
        <v/>
      </c>
    </row>
    <row r="359" spans="2:11" x14ac:dyDescent="0.25">
      <c r="B359" s="9" t="e">
        <f t="shared" si="64"/>
        <v>#N/A</v>
      </c>
      <c r="C359" s="10" t="e">
        <f t="shared" si="56"/>
        <v>#N/A</v>
      </c>
      <c r="D359" s="11" t="str">
        <f>IF(ISERROR(B359),"",bsolve($B359,$E$2,$E$4,$E$8,$E$9))</f>
        <v/>
      </c>
      <c r="E359" s="11" t="str">
        <f t="shared" si="57"/>
        <v/>
      </c>
      <c r="F359" s="11" t="str">
        <f t="shared" si="60"/>
        <v/>
      </c>
      <c r="G359" s="11" t="str">
        <f t="shared" si="61"/>
        <v/>
      </c>
      <c r="H359" s="19" t="str">
        <f t="shared" si="58"/>
        <v/>
      </c>
      <c r="I359" s="21">
        <f t="shared" si="62"/>
        <v>0</v>
      </c>
      <c r="J359" s="21" t="e">
        <f t="shared" si="59"/>
        <v>#N/A</v>
      </c>
      <c r="K359" s="21" t="str">
        <f t="shared" si="63"/>
        <v/>
      </c>
    </row>
    <row r="360" spans="2:11" x14ac:dyDescent="0.25">
      <c r="B360" s="9" t="e">
        <f t="shared" si="64"/>
        <v>#N/A</v>
      </c>
      <c r="C360" s="10" t="e">
        <f t="shared" si="56"/>
        <v>#N/A</v>
      </c>
      <c r="D360" s="11" t="str">
        <f>IF(ISERROR(B360),"",bsolve($B360,$E$2,$E$4,$E$8,$E$9))</f>
        <v/>
      </c>
      <c r="E360" s="11" t="str">
        <f t="shared" si="57"/>
        <v/>
      </c>
      <c r="F360" s="11" t="str">
        <f t="shared" si="60"/>
        <v/>
      </c>
      <c r="G360" s="11" t="str">
        <f t="shared" si="61"/>
        <v/>
      </c>
      <c r="H360" s="19" t="str">
        <f t="shared" si="58"/>
        <v/>
      </c>
      <c r="I360" s="21">
        <f t="shared" si="62"/>
        <v>0</v>
      </c>
      <c r="J360" s="21" t="e">
        <f t="shared" si="59"/>
        <v>#N/A</v>
      </c>
      <c r="K360" s="21" t="str">
        <f t="shared" si="63"/>
        <v/>
      </c>
    </row>
    <row r="361" spans="2:11" x14ac:dyDescent="0.25">
      <c r="B361" s="9" t="e">
        <f t="shared" si="64"/>
        <v>#N/A</v>
      </c>
      <c r="C361" s="10" t="e">
        <f t="shared" si="56"/>
        <v>#N/A</v>
      </c>
      <c r="D361" s="11" t="str">
        <f>IF(ISERROR(B361),"",bsolve($B361,$E$2,$E$4,$E$8,$E$9))</f>
        <v/>
      </c>
      <c r="E361" s="11" t="str">
        <f t="shared" si="57"/>
        <v/>
      </c>
      <c r="F361" s="11" t="str">
        <f t="shared" si="60"/>
        <v/>
      </c>
      <c r="G361" s="11" t="str">
        <f t="shared" si="61"/>
        <v/>
      </c>
      <c r="H361" s="19" t="str">
        <f t="shared" si="58"/>
        <v/>
      </c>
      <c r="I361" s="21">
        <f t="shared" si="62"/>
        <v>0</v>
      </c>
      <c r="J361" s="21" t="e">
        <f t="shared" si="59"/>
        <v>#N/A</v>
      </c>
      <c r="K361" s="21" t="str">
        <f t="shared" si="63"/>
        <v/>
      </c>
    </row>
    <row r="362" spans="2:11" x14ac:dyDescent="0.25">
      <c r="B362" s="9" t="e">
        <f t="shared" si="64"/>
        <v>#N/A</v>
      </c>
      <c r="C362" s="10" t="e">
        <f t="shared" si="56"/>
        <v>#N/A</v>
      </c>
      <c r="D362" s="11" t="str">
        <f>IF(ISERROR(B362),"",bsolve($B362,$E$2,$E$4,$E$8,$E$9))</f>
        <v/>
      </c>
      <c r="E362" s="11" t="str">
        <f t="shared" si="57"/>
        <v/>
      </c>
      <c r="F362" s="11" t="str">
        <f t="shared" si="60"/>
        <v/>
      </c>
      <c r="G362" s="11" t="str">
        <f t="shared" si="61"/>
        <v/>
      </c>
      <c r="H362" s="19" t="str">
        <f t="shared" si="58"/>
        <v/>
      </c>
      <c r="I362" s="21">
        <f t="shared" si="62"/>
        <v>0</v>
      </c>
      <c r="J362" s="21" t="e">
        <f t="shared" si="59"/>
        <v>#N/A</v>
      </c>
      <c r="K362" s="21" t="str">
        <f t="shared" si="63"/>
        <v/>
      </c>
    </row>
    <row r="363" spans="2:11" x14ac:dyDescent="0.25">
      <c r="B363" s="9" t="e">
        <f t="shared" si="64"/>
        <v>#N/A</v>
      </c>
      <c r="C363" s="10" t="e">
        <f t="shared" si="56"/>
        <v>#N/A</v>
      </c>
      <c r="D363" s="11" t="str">
        <f>IF(ISERROR(B363),"",bsolve($B363,$E$2,$E$4,$E$8,$E$9))</f>
        <v/>
      </c>
      <c r="E363" s="11" t="str">
        <f t="shared" si="57"/>
        <v/>
      </c>
      <c r="F363" s="11" t="str">
        <f t="shared" si="60"/>
        <v/>
      </c>
      <c r="G363" s="11" t="str">
        <f t="shared" si="61"/>
        <v/>
      </c>
      <c r="H363" s="19" t="str">
        <f t="shared" si="58"/>
        <v/>
      </c>
      <c r="I363" s="21">
        <f t="shared" si="62"/>
        <v>0</v>
      </c>
      <c r="J363" s="21" t="e">
        <f t="shared" si="59"/>
        <v>#N/A</v>
      </c>
      <c r="K363" s="21" t="str">
        <f t="shared" si="63"/>
        <v/>
      </c>
    </row>
    <row r="364" spans="2:11" x14ac:dyDescent="0.25">
      <c r="B364" s="9" t="e">
        <f t="shared" si="64"/>
        <v>#N/A</v>
      </c>
      <c r="C364" s="10" t="e">
        <f t="shared" si="56"/>
        <v>#N/A</v>
      </c>
      <c r="D364" s="11" t="str">
        <f>IF(ISERROR(B364),"",bsolve($B364,$E$2,$E$4,$E$8,$E$9))</f>
        <v/>
      </c>
      <c r="E364" s="11" t="str">
        <f t="shared" si="57"/>
        <v/>
      </c>
      <c r="F364" s="11" t="str">
        <f t="shared" si="60"/>
        <v/>
      </c>
      <c r="G364" s="11" t="str">
        <f t="shared" si="61"/>
        <v/>
      </c>
      <c r="H364" s="19" t="str">
        <f t="shared" si="58"/>
        <v/>
      </c>
      <c r="I364" s="21">
        <f t="shared" si="62"/>
        <v>0</v>
      </c>
      <c r="J364" s="21" t="e">
        <f t="shared" si="59"/>
        <v>#N/A</v>
      </c>
      <c r="K364" s="21" t="str">
        <f t="shared" si="63"/>
        <v/>
      </c>
    </row>
    <row r="365" spans="2:11" x14ac:dyDescent="0.25">
      <c r="B365" s="9" t="e">
        <f t="shared" si="64"/>
        <v>#N/A</v>
      </c>
      <c r="C365" s="10" t="e">
        <f t="shared" si="56"/>
        <v>#N/A</v>
      </c>
      <c r="D365" s="11" t="str">
        <f>IF(ISERROR(B365),"",bsolve($B365,$E$2,$E$4,$E$8,$E$9))</f>
        <v/>
      </c>
      <c r="E365" s="11" t="str">
        <f t="shared" si="57"/>
        <v/>
      </c>
      <c r="F365" s="11" t="str">
        <f t="shared" si="60"/>
        <v/>
      </c>
      <c r="G365" s="11" t="str">
        <f t="shared" si="61"/>
        <v/>
      </c>
      <c r="H365" s="19" t="str">
        <f t="shared" si="58"/>
        <v/>
      </c>
      <c r="I365" s="21">
        <f t="shared" si="62"/>
        <v>0</v>
      </c>
      <c r="J365" s="21" t="e">
        <f t="shared" si="59"/>
        <v>#N/A</v>
      </c>
      <c r="K365" s="21" t="str">
        <f t="shared" si="63"/>
        <v/>
      </c>
    </row>
    <row r="366" spans="2:11" x14ac:dyDescent="0.25">
      <c r="B366" s="9" t="e">
        <f t="shared" si="64"/>
        <v>#N/A</v>
      </c>
      <c r="C366" s="10" t="e">
        <f t="shared" si="56"/>
        <v>#N/A</v>
      </c>
      <c r="D366" s="11" t="str">
        <f>IF(ISERROR(B366),"",bsolve($B366,$E$2,$E$4,$E$8,$E$9))</f>
        <v/>
      </c>
      <c r="E366" s="11" t="str">
        <f t="shared" si="57"/>
        <v/>
      </c>
      <c r="F366" s="11" t="str">
        <f t="shared" si="60"/>
        <v/>
      </c>
      <c r="G366" s="11" t="str">
        <f t="shared" si="61"/>
        <v/>
      </c>
      <c r="H366" s="19" t="str">
        <f t="shared" si="58"/>
        <v/>
      </c>
      <c r="I366" s="21">
        <f t="shared" si="62"/>
        <v>0</v>
      </c>
      <c r="J366" s="21" t="e">
        <f t="shared" si="59"/>
        <v>#N/A</v>
      </c>
      <c r="K366" s="21" t="str">
        <f t="shared" si="63"/>
        <v/>
      </c>
    </row>
    <row r="367" spans="2:11" x14ac:dyDescent="0.25">
      <c r="B367" s="9" t="e">
        <f t="shared" si="64"/>
        <v>#N/A</v>
      </c>
      <c r="C367" s="10" t="e">
        <f t="shared" si="56"/>
        <v>#N/A</v>
      </c>
      <c r="D367" s="11" t="str">
        <f>IF(ISERROR(B367),"",bsolve($B367,$E$2,$E$4,$E$8,$E$9))</f>
        <v/>
      </c>
      <c r="E367" s="11" t="str">
        <f t="shared" si="57"/>
        <v/>
      </c>
      <c r="F367" s="11" t="str">
        <f t="shared" si="60"/>
        <v/>
      </c>
      <c r="G367" s="11" t="str">
        <f t="shared" si="61"/>
        <v/>
      </c>
      <c r="H367" s="19" t="str">
        <f t="shared" si="58"/>
        <v/>
      </c>
      <c r="I367" s="21">
        <f t="shared" si="62"/>
        <v>0</v>
      </c>
      <c r="J367" s="21" t="e">
        <f t="shared" si="59"/>
        <v>#N/A</v>
      </c>
      <c r="K367" s="21" t="str">
        <f t="shared" si="63"/>
        <v/>
      </c>
    </row>
    <row r="368" spans="2:11" x14ac:dyDescent="0.25">
      <c r="B368" s="9" t="e">
        <f t="shared" si="64"/>
        <v>#N/A</v>
      </c>
      <c r="C368" s="10" t="e">
        <f t="shared" si="56"/>
        <v>#N/A</v>
      </c>
      <c r="D368" s="11" t="str">
        <f>IF(ISERROR(B368),"",bsolve($B368,$E$2,$E$4,$E$8,$E$9))</f>
        <v/>
      </c>
      <c r="E368" s="11" t="str">
        <f t="shared" si="57"/>
        <v/>
      </c>
      <c r="F368" s="11" t="str">
        <f t="shared" si="60"/>
        <v/>
      </c>
      <c r="G368" s="11" t="str">
        <f t="shared" si="61"/>
        <v/>
      </c>
      <c r="H368" s="19" t="str">
        <f t="shared" si="58"/>
        <v/>
      </c>
      <c r="I368" s="21">
        <f t="shared" si="62"/>
        <v>0</v>
      </c>
      <c r="J368" s="21" t="e">
        <f t="shared" si="59"/>
        <v>#N/A</v>
      </c>
      <c r="K368" s="21" t="str">
        <f t="shared" si="63"/>
        <v/>
      </c>
    </row>
    <row r="369" spans="2:11" x14ac:dyDescent="0.25">
      <c r="B369" s="9" t="e">
        <f t="shared" si="64"/>
        <v>#N/A</v>
      </c>
      <c r="C369" s="10" t="e">
        <f t="shared" si="56"/>
        <v>#N/A</v>
      </c>
      <c r="D369" s="11" t="str">
        <f>IF(ISERROR(B369),"",bsolve($B369,$E$2,$E$4,$E$8,$E$9))</f>
        <v/>
      </c>
      <c r="E369" s="11" t="str">
        <f t="shared" si="57"/>
        <v/>
      </c>
      <c r="F369" s="11" t="str">
        <f t="shared" si="60"/>
        <v/>
      </c>
      <c r="G369" s="11" t="str">
        <f t="shared" si="61"/>
        <v/>
      </c>
      <c r="H369" s="19" t="str">
        <f t="shared" si="58"/>
        <v/>
      </c>
      <c r="I369" s="21">
        <f t="shared" si="62"/>
        <v>0</v>
      </c>
      <c r="J369" s="21" t="e">
        <f t="shared" si="59"/>
        <v>#N/A</v>
      </c>
      <c r="K369" s="21" t="str">
        <f t="shared" si="63"/>
        <v/>
      </c>
    </row>
    <row r="370" spans="2:11" x14ac:dyDescent="0.25">
      <c r="B370" s="9" t="e">
        <f t="shared" si="64"/>
        <v>#N/A</v>
      </c>
      <c r="C370" s="10" t="e">
        <f t="shared" si="56"/>
        <v>#N/A</v>
      </c>
      <c r="D370" s="11" t="str">
        <f>IF(ISERROR(B370),"",bsolve($B370,$E$2,$E$4,$E$8,$E$9))</f>
        <v/>
      </c>
      <c r="E370" s="11" t="str">
        <f t="shared" si="57"/>
        <v/>
      </c>
      <c r="F370" s="11" t="str">
        <f t="shared" si="60"/>
        <v/>
      </c>
      <c r="G370" s="11" t="str">
        <f t="shared" si="61"/>
        <v/>
      </c>
      <c r="H370" s="19" t="str">
        <f t="shared" si="58"/>
        <v/>
      </c>
      <c r="I370" s="21">
        <f t="shared" si="62"/>
        <v>0</v>
      </c>
      <c r="J370" s="21" t="e">
        <f t="shared" si="59"/>
        <v>#N/A</v>
      </c>
      <c r="K370" s="21" t="str">
        <f t="shared" si="63"/>
        <v/>
      </c>
    </row>
    <row r="371" spans="2:11" x14ac:dyDescent="0.25">
      <c r="B371" s="9" t="e">
        <f t="shared" si="64"/>
        <v>#N/A</v>
      </c>
      <c r="C371" s="10" t="e">
        <f t="shared" si="56"/>
        <v>#N/A</v>
      </c>
      <c r="D371" s="11" t="str">
        <f>IF(ISERROR(B371),"",bsolve($B371,$E$2,$E$4,$E$8,$E$9))</f>
        <v/>
      </c>
      <c r="E371" s="11" t="str">
        <f t="shared" si="57"/>
        <v/>
      </c>
      <c r="F371" s="11" t="str">
        <f t="shared" si="60"/>
        <v/>
      </c>
      <c r="G371" s="11" t="str">
        <f t="shared" si="61"/>
        <v/>
      </c>
      <c r="H371" s="19" t="str">
        <f t="shared" si="58"/>
        <v/>
      </c>
      <c r="I371" s="21">
        <f t="shared" si="62"/>
        <v>0</v>
      </c>
      <c r="J371" s="21" t="e">
        <f t="shared" si="59"/>
        <v>#N/A</v>
      </c>
      <c r="K371" s="21" t="str">
        <f t="shared" si="63"/>
        <v/>
      </c>
    </row>
    <row r="372" spans="2:11" x14ac:dyDescent="0.25">
      <c r="B372" s="9" t="e">
        <f t="shared" si="64"/>
        <v>#N/A</v>
      </c>
      <c r="C372" s="10" t="e">
        <f t="shared" si="56"/>
        <v>#N/A</v>
      </c>
      <c r="D372" s="11" t="str">
        <f>IF(ISERROR(B372),"",bsolve($B372,$E$2,$E$4,$E$8,$E$9))</f>
        <v/>
      </c>
      <c r="E372" s="11" t="str">
        <f t="shared" si="57"/>
        <v/>
      </c>
      <c r="F372" s="11" t="str">
        <f t="shared" si="60"/>
        <v/>
      </c>
      <c r="G372" s="11" t="str">
        <f t="shared" si="61"/>
        <v/>
      </c>
      <c r="H372" s="19" t="str">
        <f t="shared" si="58"/>
        <v/>
      </c>
      <c r="I372" s="21">
        <f t="shared" si="62"/>
        <v>0</v>
      </c>
      <c r="J372" s="21" t="e">
        <f t="shared" si="59"/>
        <v>#N/A</v>
      </c>
      <c r="K372" s="21" t="str">
        <f t="shared" si="63"/>
        <v/>
      </c>
    </row>
    <row r="373" spans="2:11" x14ac:dyDescent="0.25">
      <c r="B373" s="9" t="e">
        <f t="shared" si="64"/>
        <v>#N/A</v>
      </c>
      <c r="C373" s="10" t="e">
        <f t="shared" si="56"/>
        <v>#N/A</v>
      </c>
      <c r="D373" s="11" t="str">
        <f>IF(ISERROR(B373),"",bsolve($B373,$E$2,$E$4,$E$8,$E$9))</f>
        <v/>
      </c>
      <c r="E373" s="11" t="str">
        <f t="shared" si="57"/>
        <v/>
      </c>
      <c r="F373" s="11" t="str">
        <f t="shared" si="60"/>
        <v/>
      </c>
      <c r="G373" s="11" t="str">
        <f t="shared" si="61"/>
        <v/>
      </c>
      <c r="H373" s="19" t="str">
        <f t="shared" si="58"/>
        <v/>
      </c>
      <c r="I373" s="21">
        <f t="shared" si="62"/>
        <v>0</v>
      </c>
      <c r="J373" s="21" t="e">
        <f t="shared" si="59"/>
        <v>#N/A</v>
      </c>
      <c r="K373" s="21" t="str">
        <f t="shared" si="63"/>
        <v/>
      </c>
    </row>
    <row r="374" spans="2:11" x14ac:dyDescent="0.25">
      <c r="B374" s="9" t="e">
        <f t="shared" si="64"/>
        <v>#N/A</v>
      </c>
      <c r="C374" s="10" t="e">
        <f t="shared" si="56"/>
        <v>#N/A</v>
      </c>
      <c r="D374" s="11" t="str">
        <f>IF(ISERROR(B374),"",bsolve($B374,$E$2,$E$4,$E$8,$E$9))</f>
        <v/>
      </c>
      <c r="E374" s="11" t="str">
        <f t="shared" si="57"/>
        <v/>
      </c>
      <c r="F374" s="11" t="str">
        <f t="shared" si="60"/>
        <v/>
      </c>
      <c r="G374" s="11" t="str">
        <f t="shared" si="61"/>
        <v/>
      </c>
      <c r="H374" s="19" t="str">
        <f t="shared" si="58"/>
        <v/>
      </c>
      <c r="I374" s="21">
        <f t="shared" si="62"/>
        <v>0</v>
      </c>
      <c r="J374" s="21" t="e">
        <f t="shared" si="59"/>
        <v>#N/A</v>
      </c>
      <c r="K374" s="21" t="str">
        <f t="shared" si="63"/>
        <v/>
      </c>
    </row>
    <row r="375" spans="2:11" x14ac:dyDescent="0.25">
      <c r="B375" s="9" t="e">
        <f t="shared" si="64"/>
        <v>#N/A</v>
      </c>
      <c r="C375" s="10" t="e">
        <f t="shared" si="56"/>
        <v>#N/A</v>
      </c>
      <c r="D375" s="11" t="str">
        <f>IF(ISERROR(B375),"",bsolve($B375,$E$2,$E$4,$E$8,$E$9))</f>
        <v/>
      </c>
      <c r="E375" s="11" t="str">
        <f t="shared" si="57"/>
        <v/>
      </c>
      <c r="F375" s="11" t="str">
        <f t="shared" si="60"/>
        <v/>
      </c>
      <c r="G375" s="11" t="str">
        <f t="shared" si="61"/>
        <v/>
      </c>
      <c r="H375" s="19" t="str">
        <f t="shared" si="58"/>
        <v/>
      </c>
      <c r="I375" s="21">
        <f t="shared" si="62"/>
        <v>0</v>
      </c>
      <c r="J375" s="21" t="e">
        <f t="shared" si="59"/>
        <v>#N/A</v>
      </c>
      <c r="K375" s="21" t="str">
        <f t="shared" si="63"/>
        <v/>
      </c>
    </row>
    <row r="376" spans="2:11" x14ac:dyDescent="0.25">
      <c r="B376" s="9" t="e">
        <f t="shared" si="64"/>
        <v>#N/A</v>
      </c>
      <c r="C376" s="10" t="e">
        <f t="shared" si="56"/>
        <v>#N/A</v>
      </c>
      <c r="D376" s="11" t="str">
        <f>IF(ISERROR(B376),"",bsolve($B376,$E$2,$E$4,$E$8,$E$9))</f>
        <v/>
      </c>
      <c r="E376" s="11" t="str">
        <f t="shared" si="57"/>
        <v/>
      </c>
      <c r="F376" s="11" t="str">
        <f t="shared" si="60"/>
        <v/>
      </c>
      <c r="G376" s="11" t="str">
        <f t="shared" si="61"/>
        <v/>
      </c>
      <c r="H376" s="19" t="str">
        <f t="shared" si="58"/>
        <v/>
      </c>
      <c r="I376" s="21">
        <f t="shared" si="62"/>
        <v>0</v>
      </c>
      <c r="J376" s="21" t="e">
        <f t="shared" si="59"/>
        <v>#N/A</v>
      </c>
      <c r="K376" s="21" t="str">
        <f t="shared" si="63"/>
        <v/>
      </c>
    </row>
    <row r="377" spans="2:11" x14ac:dyDescent="0.25">
      <c r="B377" s="9" t="e">
        <f t="shared" si="64"/>
        <v>#N/A</v>
      </c>
      <c r="C377" s="10" t="e">
        <f t="shared" si="56"/>
        <v>#N/A</v>
      </c>
      <c r="D377" s="11" t="str">
        <f>IF(ISERROR(B377),"",bsolve($B377,$E$2,$E$4,$E$8,$E$9))</f>
        <v/>
      </c>
      <c r="E377" s="11" t="str">
        <f t="shared" si="57"/>
        <v/>
      </c>
      <c r="F377" s="11" t="str">
        <f t="shared" si="60"/>
        <v/>
      </c>
      <c r="G377" s="11" t="str">
        <f t="shared" si="61"/>
        <v/>
      </c>
      <c r="H377" s="19" t="str">
        <f t="shared" si="58"/>
        <v/>
      </c>
      <c r="I377" s="21">
        <f t="shared" si="62"/>
        <v>0</v>
      </c>
      <c r="J377" s="21" t="e">
        <f t="shared" si="59"/>
        <v>#N/A</v>
      </c>
      <c r="K377" s="21" t="str">
        <f t="shared" si="63"/>
        <v/>
      </c>
    </row>
    <row r="378" spans="2:11" x14ac:dyDescent="0.25">
      <c r="B378" s="9" t="e">
        <f t="shared" si="64"/>
        <v>#N/A</v>
      </c>
      <c r="C378" s="10" t="e">
        <f t="shared" si="56"/>
        <v>#N/A</v>
      </c>
      <c r="D378" s="11" t="str">
        <f>IF(ISERROR(B378),"",bsolve($B378,$E$2,$E$4,$E$8,$E$9))</f>
        <v/>
      </c>
      <c r="E378" s="11" t="str">
        <f t="shared" si="57"/>
        <v/>
      </c>
      <c r="F378" s="11" t="str">
        <f t="shared" si="60"/>
        <v/>
      </c>
      <c r="G378" s="11" t="str">
        <f t="shared" si="61"/>
        <v/>
      </c>
      <c r="H378" s="19" t="str">
        <f t="shared" si="58"/>
        <v/>
      </c>
      <c r="I378" s="21">
        <f t="shared" si="62"/>
        <v>0</v>
      </c>
      <c r="J378" s="21" t="e">
        <f t="shared" si="59"/>
        <v>#N/A</v>
      </c>
      <c r="K378" s="21" t="str">
        <f t="shared" si="63"/>
        <v/>
      </c>
    </row>
    <row r="379" spans="2:11" x14ac:dyDescent="0.25">
      <c r="B379" s="9" t="e">
        <f t="shared" si="64"/>
        <v>#N/A</v>
      </c>
      <c r="C379" s="10" t="e">
        <f t="shared" si="56"/>
        <v>#N/A</v>
      </c>
      <c r="D379" s="11" t="str">
        <f>IF(ISERROR(B379),"",bsolve($B379,$E$2,$E$4,$E$8,$E$9))</f>
        <v/>
      </c>
      <c r="E379" s="11" t="str">
        <f t="shared" si="57"/>
        <v/>
      </c>
      <c r="F379" s="11" t="str">
        <f t="shared" si="60"/>
        <v/>
      </c>
      <c r="G379" s="11" t="str">
        <f t="shared" si="61"/>
        <v/>
      </c>
      <c r="H379" s="19" t="str">
        <f t="shared" si="58"/>
        <v/>
      </c>
      <c r="I379" s="21">
        <f t="shared" si="62"/>
        <v>0</v>
      </c>
      <c r="J379" s="21" t="e">
        <f t="shared" si="59"/>
        <v>#N/A</v>
      </c>
      <c r="K379" s="21" t="str">
        <f t="shared" si="63"/>
        <v/>
      </c>
    </row>
    <row r="380" spans="2:11" x14ac:dyDescent="0.25">
      <c r="B380" s="9" t="e">
        <f t="shared" si="64"/>
        <v>#N/A</v>
      </c>
      <c r="C380" s="10" t="e">
        <f t="shared" si="56"/>
        <v>#N/A</v>
      </c>
      <c r="D380" s="11" t="str">
        <f>IF(ISERROR(B380),"",bsolve($B380,$E$2,$E$4,$E$8,$E$9))</f>
        <v/>
      </c>
      <c r="E380" s="11" t="str">
        <f t="shared" si="57"/>
        <v/>
      </c>
      <c r="F380" s="11" t="str">
        <f t="shared" si="60"/>
        <v/>
      </c>
      <c r="G380" s="11" t="str">
        <f t="shared" si="61"/>
        <v/>
      </c>
      <c r="H380" s="19" t="str">
        <f t="shared" si="58"/>
        <v/>
      </c>
      <c r="I380" s="21">
        <f t="shared" si="62"/>
        <v>0</v>
      </c>
      <c r="J380" s="21" t="e">
        <f t="shared" si="59"/>
        <v>#N/A</v>
      </c>
      <c r="K380" s="21" t="str">
        <f t="shared" si="63"/>
        <v/>
      </c>
    </row>
    <row r="381" spans="2:11" x14ac:dyDescent="0.25">
      <c r="B381" s="9" t="e">
        <f t="shared" si="64"/>
        <v>#N/A</v>
      </c>
      <c r="C381" s="10" t="e">
        <f t="shared" si="56"/>
        <v>#N/A</v>
      </c>
      <c r="D381" s="11" t="str">
        <f>IF(ISERROR(B381),"",bsolve($B381,$E$2,$E$4,$E$8,$E$9))</f>
        <v/>
      </c>
      <c r="E381" s="11" t="str">
        <f t="shared" si="57"/>
        <v/>
      </c>
      <c r="F381" s="11" t="str">
        <f t="shared" si="60"/>
        <v/>
      </c>
      <c r="G381" s="11" t="str">
        <f t="shared" si="61"/>
        <v/>
      </c>
      <c r="H381" s="19" t="str">
        <f t="shared" si="58"/>
        <v/>
      </c>
      <c r="I381" s="21">
        <f t="shared" si="62"/>
        <v>0</v>
      </c>
      <c r="J381" s="21" t="e">
        <f t="shared" si="59"/>
        <v>#N/A</v>
      </c>
      <c r="K381" s="21" t="str">
        <f t="shared" si="63"/>
        <v/>
      </c>
    </row>
    <row r="382" spans="2:11" x14ac:dyDescent="0.25">
      <c r="B382" s="9" t="e">
        <f t="shared" si="64"/>
        <v>#N/A</v>
      </c>
      <c r="C382" s="10" t="e">
        <f t="shared" si="56"/>
        <v>#N/A</v>
      </c>
      <c r="D382" s="11" t="str">
        <f>IF(ISERROR(B382),"",bsolve($B382,$E$2,$E$4,$E$8,$E$9))</f>
        <v/>
      </c>
      <c r="E382" s="11" t="str">
        <f t="shared" si="57"/>
        <v/>
      </c>
      <c r="F382" s="11" t="str">
        <f t="shared" si="60"/>
        <v/>
      </c>
      <c r="G382" s="11" t="str">
        <f t="shared" si="61"/>
        <v/>
      </c>
      <c r="H382" s="19" t="str">
        <f t="shared" si="58"/>
        <v/>
      </c>
      <c r="I382" s="21">
        <f t="shared" si="62"/>
        <v>0</v>
      </c>
      <c r="J382" s="21" t="e">
        <f t="shared" si="59"/>
        <v>#N/A</v>
      </c>
      <c r="K382" s="21" t="str">
        <f t="shared" si="63"/>
        <v/>
      </c>
    </row>
    <row r="383" spans="2:11" x14ac:dyDescent="0.25">
      <c r="B383" s="9" t="e">
        <f t="shared" si="64"/>
        <v>#N/A</v>
      </c>
      <c r="C383" s="10" t="e">
        <f t="shared" si="56"/>
        <v>#N/A</v>
      </c>
      <c r="D383" s="11" t="str">
        <f>IF(ISERROR(B383),"",bsolve($B383,$E$2,$E$4,$E$8,$E$9))</f>
        <v/>
      </c>
      <c r="E383" s="11" t="str">
        <f t="shared" si="57"/>
        <v/>
      </c>
      <c r="F383" s="11" t="str">
        <f t="shared" si="60"/>
        <v/>
      </c>
      <c r="G383" s="11" t="str">
        <f t="shared" si="61"/>
        <v/>
      </c>
      <c r="H383" s="19" t="str">
        <f t="shared" si="58"/>
        <v/>
      </c>
      <c r="I383" s="21">
        <f t="shared" si="62"/>
        <v>0</v>
      </c>
      <c r="J383" s="21" t="e">
        <f t="shared" si="59"/>
        <v>#N/A</v>
      </c>
      <c r="K383" s="21" t="str">
        <f t="shared" si="63"/>
        <v/>
      </c>
    </row>
    <row r="384" spans="2:11" x14ac:dyDescent="0.25">
      <c r="B384" s="9" t="e">
        <f t="shared" si="64"/>
        <v>#N/A</v>
      </c>
      <c r="C384" s="10" t="e">
        <f t="shared" si="56"/>
        <v>#N/A</v>
      </c>
      <c r="D384" s="11" t="str">
        <f>IF(ISERROR(B384),"",bsolve($B384,$E$2,$E$4,$E$8,$E$9))</f>
        <v/>
      </c>
      <c r="E384" s="11" t="str">
        <f t="shared" si="57"/>
        <v/>
      </c>
      <c r="F384" s="11" t="str">
        <f t="shared" si="60"/>
        <v/>
      </c>
      <c r="G384" s="11" t="str">
        <f t="shared" si="61"/>
        <v/>
      </c>
      <c r="H384" s="19" t="str">
        <f t="shared" si="58"/>
        <v/>
      </c>
      <c r="I384" s="21">
        <f t="shared" si="62"/>
        <v>0</v>
      </c>
      <c r="J384" s="21" t="e">
        <f t="shared" si="59"/>
        <v>#N/A</v>
      </c>
      <c r="K384" s="21" t="str">
        <f t="shared" si="63"/>
        <v/>
      </c>
    </row>
    <row r="385" spans="2:11" x14ac:dyDescent="0.25">
      <c r="B385" s="9" t="e">
        <f t="shared" si="64"/>
        <v>#N/A</v>
      </c>
      <c r="C385" s="10" t="e">
        <f t="shared" si="56"/>
        <v>#N/A</v>
      </c>
      <c r="D385" s="11" t="str">
        <f>IF(ISERROR(B385),"",bsolve($B385,$E$2,$E$4,$E$8,$E$9))</f>
        <v/>
      </c>
      <c r="E385" s="11" t="str">
        <f t="shared" si="57"/>
        <v/>
      </c>
      <c r="F385" s="11" t="str">
        <f t="shared" si="60"/>
        <v/>
      </c>
      <c r="G385" s="11" t="str">
        <f t="shared" si="61"/>
        <v/>
      </c>
      <c r="H385" s="19" t="str">
        <f t="shared" si="58"/>
        <v/>
      </c>
      <c r="I385" s="21">
        <f t="shared" si="62"/>
        <v>0</v>
      </c>
      <c r="J385" s="21" t="e">
        <f t="shared" si="59"/>
        <v>#N/A</v>
      </c>
      <c r="K385" s="21" t="str">
        <f t="shared" si="63"/>
        <v/>
      </c>
    </row>
    <row r="386" spans="2:11" x14ac:dyDescent="0.25">
      <c r="B386" s="9" t="e">
        <f t="shared" si="64"/>
        <v>#N/A</v>
      </c>
      <c r="C386" s="10" t="e">
        <f t="shared" si="56"/>
        <v>#N/A</v>
      </c>
      <c r="D386" s="11" t="str">
        <f>IF(ISERROR(B386),"",bsolve($B386,$E$2,$E$4,$E$8,$E$9))</f>
        <v/>
      </c>
      <c r="E386" s="11" t="str">
        <f t="shared" si="57"/>
        <v/>
      </c>
      <c r="F386" s="11" t="str">
        <f t="shared" si="60"/>
        <v/>
      </c>
      <c r="G386" s="11" t="str">
        <f t="shared" si="61"/>
        <v/>
      </c>
      <c r="H386" s="19" t="str">
        <f t="shared" si="58"/>
        <v/>
      </c>
      <c r="I386" s="21">
        <f t="shared" si="62"/>
        <v>0</v>
      </c>
      <c r="J386" s="21" t="e">
        <f t="shared" si="59"/>
        <v>#N/A</v>
      </c>
      <c r="K386" s="21" t="str">
        <f t="shared" si="63"/>
        <v/>
      </c>
    </row>
    <row r="387" spans="2:11" x14ac:dyDescent="0.25">
      <c r="B387" s="9" t="e">
        <f t="shared" si="64"/>
        <v>#N/A</v>
      </c>
      <c r="C387" s="10" t="e">
        <f t="shared" si="56"/>
        <v>#N/A</v>
      </c>
      <c r="D387" s="11" t="str">
        <f>IF(ISERROR(B387),"",bsolve($B387,$E$2,$E$4,$E$8,$E$9))</f>
        <v/>
      </c>
      <c r="E387" s="11" t="str">
        <f t="shared" si="57"/>
        <v/>
      </c>
      <c r="F387" s="11" t="str">
        <f t="shared" si="60"/>
        <v/>
      </c>
      <c r="G387" s="11" t="str">
        <f t="shared" si="61"/>
        <v/>
      </c>
      <c r="H387" s="19" t="str">
        <f t="shared" si="58"/>
        <v/>
      </c>
      <c r="I387" s="21">
        <f t="shared" si="62"/>
        <v>0</v>
      </c>
      <c r="J387" s="21" t="e">
        <f t="shared" si="59"/>
        <v>#N/A</v>
      </c>
      <c r="K387" s="21" t="str">
        <f t="shared" si="63"/>
        <v/>
      </c>
    </row>
    <row r="388" spans="2:11" x14ac:dyDescent="0.25">
      <c r="B388" s="9" t="e">
        <f t="shared" si="64"/>
        <v>#N/A</v>
      </c>
      <c r="C388" s="10" t="e">
        <f t="shared" si="56"/>
        <v>#N/A</v>
      </c>
      <c r="D388" s="11" t="str">
        <f>IF(ISERROR(B388),"",bsolve($B388,$E$2,$E$4,$E$8,$E$9))</f>
        <v/>
      </c>
      <c r="E388" s="11" t="str">
        <f t="shared" si="57"/>
        <v/>
      </c>
      <c r="F388" s="11" t="str">
        <f t="shared" si="60"/>
        <v/>
      </c>
      <c r="G388" s="11" t="str">
        <f t="shared" si="61"/>
        <v/>
      </c>
      <c r="H388" s="19" t="str">
        <f t="shared" si="58"/>
        <v/>
      </c>
      <c r="I388" s="21">
        <f t="shared" si="62"/>
        <v>0</v>
      </c>
      <c r="J388" s="21" t="e">
        <f t="shared" si="59"/>
        <v>#N/A</v>
      </c>
      <c r="K388" s="21" t="str">
        <f t="shared" si="63"/>
        <v/>
      </c>
    </row>
    <row r="389" spans="2:11" x14ac:dyDescent="0.25">
      <c r="B389" s="9" t="e">
        <f t="shared" si="64"/>
        <v>#N/A</v>
      </c>
      <c r="C389" s="10" t="e">
        <f t="shared" si="56"/>
        <v>#N/A</v>
      </c>
      <c r="D389" s="11" t="str">
        <f>IF(ISERROR(B389),"",bsolve($B389,$E$2,$E$4,$E$8,$E$9))</f>
        <v/>
      </c>
      <c r="E389" s="11" t="str">
        <f t="shared" si="57"/>
        <v/>
      </c>
      <c r="F389" s="11" t="str">
        <f t="shared" si="60"/>
        <v/>
      </c>
      <c r="G389" s="11" t="str">
        <f t="shared" si="61"/>
        <v/>
      </c>
      <c r="H389" s="19" t="str">
        <f t="shared" si="58"/>
        <v/>
      </c>
      <c r="I389" s="21">
        <f t="shared" si="62"/>
        <v>0</v>
      </c>
      <c r="J389" s="21" t="e">
        <f t="shared" si="59"/>
        <v>#N/A</v>
      </c>
      <c r="K389" s="21" t="str">
        <f t="shared" si="63"/>
        <v/>
      </c>
    </row>
    <row r="390" spans="2:11" x14ac:dyDescent="0.25">
      <c r="B390" s="9" t="e">
        <f t="shared" si="64"/>
        <v>#N/A</v>
      </c>
      <c r="C390" s="10" t="e">
        <f t="shared" si="56"/>
        <v>#N/A</v>
      </c>
      <c r="D390" s="11" t="str">
        <f>IF(ISERROR(B390),"",bsolve($B390,$E$2,$E$4,$E$8,$E$9))</f>
        <v/>
      </c>
      <c r="E390" s="11" t="str">
        <f t="shared" si="57"/>
        <v/>
      </c>
      <c r="F390" s="11" t="str">
        <f t="shared" si="60"/>
        <v/>
      </c>
      <c r="G390" s="11" t="str">
        <f t="shared" si="61"/>
        <v/>
      </c>
      <c r="H390" s="19" t="str">
        <f t="shared" si="58"/>
        <v/>
      </c>
      <c r="I390" s="21">
        <f t="shared" si="62"/>
        <v>0</v>
      </c>
      <c r="J390" s="21" t="e">
        <f t="shared" si="59"/>
        <v>#N/A</v>
      </c>
      <c r="K390" s="21" t="str">
        <f t="shared" si="63"/>
        <v/>
      </c>
    </row>
    <row r="391" spans="2:11" x14ac:dyDescent="0.25">
      <c r="B391" s="9" t="e">
        <f t="shared" si="64"/>
        <v>#N/A</v>
      </c>
      <c r="C391" s="10" t="e">
        <f t="shared" si="56"/>
        <v>#N/A</v>
      </c>
      <c r="D391" s="11" t="str">
        <f>IF(ISERROR(B391),"",bsolve($B391,$E$2,$E$4,$E$8,$E$9))</f>
        <v/>
      </c>
      <c r="E391" s="11" t="str">
        <f t="shared" si="57"/>
        <v/>
      </c>
      <c r="F391" s="11" t="str">
        <f t="shared" si="60"/>
        <v/>
      </c>
      <c r="G391" s="11" t="str">
        <f t="shared" si="61"/>
        <v/>
      </c>
      <c r="H391" s="19" t="str">
        <f t="shared" si="58"/>
        <v/>
      </c>
      <c r="I391" s="21">
        <f t="shared" si="62"/>
        <v>0</v>
      </c>
      <c r="J391" s="21" t="e">
        <f t="shared" si="59"/>
        <v>#N/A</v>
      </c>
      <c r="K391" s="21" t="str">
        <f t="shared" si="63"/>
        <v/>
      </c>
    </row>
    <row r="392" spans="2:11" x14ac:dyDescent="0.25">
      <c r="B392" s="9" t="e">
        <f t="shared" si="64"/>
        <v>#N/A</v>
      </c>
      <c r="C392" s="10" t="e">
        <f t="shared" si="56"/>
        <v>#N/A</v>
      </c>
      <c r="D392" s="11" t="str">
        <f>IF(ISERROR(B392),"",bsolve($B392,$E$2,$E$4,$E$8,$E$9))</f>
        <v/>
      </c>
      <c r="E392" s="11" t="str">
        <f t="shared" si="57"/>
        <v/>
      </c>
      <c r="F392" s="11" t="str">
        <f t="shared" si="60"/>
        <v/>
      </c>
      <c r="G392" s="11" t="str">
        <f t="shared" si="61"/>
        <v/>
      </c>
      <c r="H392" s="19" t="str">
        <f t="shared" si="58"/>
        <v/>
      </c>
      <c r="I392" s="21">
        <f t="shared" si="62"/>
        <v>0</v>
      </c>
      <c r="J392" s="21" t="e">
        <f t="shared" si="59"/>
        <v>#N/A</v>
      </c>
      <c r="K392" s="21" t="str">
        <f t="shared" si="63"/>
        <v/>
      </c>
    </row>
    <row r="393" spans="2:11" x14ac:dyDescent="0.25">
      <c r="B393" s="9" t="e">
        <f t="shared" si="64"/>
        <v>#N/A</v>
      </c>
      <c r="C393" s="10" t="e">
        <f t="shared" si="56"/>
        <v>#N/A</v>
      </c>
      <c r="D393" s="11" t="str">
        <f>IF(ISERROR(B393),"",bsolve($B393,$E$2,$E$4,$E$8,$E$9))</f>
        <v/>
      </c>
      <c r="E393" s="11" t="str">
        <f t="shared" si="57"/>
        <v/>
      </c>
      <c r="F393" s="11" t="str">
        <f t="shared" si="60"/>
        <v/>
      </c>
      <c r="G393" s="11" t="str">
        <f t="shared" si="61"/>
        <v/>
      </c>
      <c r="H393" s="19" t="str">
        <f t="shared" si="58"/>
        <v/>
      </c>
      <c r="I393" s="21">
        <f t="shared" si="62"/>
        <v>0</v>
      </c>
      <c r="J393" s="21" t="e">
        <f t="shared" si="59"/>
        <v>#N/A</v>
      </c>
      <c r="K393" s="21" t="str">
        <f t="shared" si="63"/>
        <v/>
      </c>
    </row>
    <row r="394" spans="2:11" x14ac:dyDescent="0.25">
      <c r="B394" s="9" t="e">
        <f t="shared" si="64"/>
        <v>#N/A</v>
      </c>
      <c r="C394" s="10" t="e">
        <f t="shared" si="56"/>
        <v>#N/A</v>
      </c>
      <c r="D394" s="11" t="str">
        <f>IF(ISERROR(B394),"",bsolve($B394,$E$2,$E$4,$E$8,$E$9))</f>
        <v/>
      </c>
      <c r="E394" s="11" t="str">
        <f t="shared" si="57"/>
        <v/>
      </c>
      <c r="F394" s="11" t="str">
        <f t="shared" si="60"/>
        <v/>
      </c>
      <c r="G394" s="11" t="str">
        <f t="shared" si="61"/>
        <v/>
      </c>
      <c r="H394" s="19" t="str">
        <f t="shared" si="58"/>
        <v/>
      </c>
      <c r="I394" s="21">
        <f t="shared" si="62"/>
        <v>0</v>
      </c>
      <c r="J394" s="21" t="e">
        <f t="shared" si="59"/>
        <v>#N/A</v>
      </c>
      <c r="K394" s="21" t="str">
        <f t="shared" si="63"/>
        <v/>
      </c>
    </row>
    <row r="395" spans="2:11" x14ac:dyDescent="0.25">
      <c r="B395" s="9" t="e">
        <f t="shared" si="64"/>
        <v>#N/A</v>
      </c>
      <c r="C395" s="10" t="e">
        <f t="shared" si="56"/>
        <v>#N/A</v>
      </c>
      <c r="D395" s="11" t="str">
        <f>IF(ISERROR(B395),"",bsolve($B395,$E$2,$E$4,$E$8,$E$9))</f>
        <v/>
      </c>
      <c r="E395" s="11" t="str">
        <f t="shared" si="57"/>
        <v/>
      </c>
      <c r="F395" s="11" t="str">
        <f t="shared" si="60"/>
        <v/>
      </c>
      <c r="G395" s="11" t="str">
        <f t="shared" si="61"/>
        <v/>
      </c>
      <c r="H395" s="19" t="str">
        <f t="shared" si="58"/>
        <v/>
      </c>
      <c r="I395" s="21">
        <f t="shared" si="62"/>
        <v>0</v>
      </c>
      <c r="J395" s="21" t="e">
        <f t="shared" si="59"/>
        <v>#N/A</v>
      </c>
      <c r="K395" s="21" t="str">
        <f t="shared" si="63"/>
        <v/>
      </c>
    </row>
    <row r="396" spans="2:11" x14ac:dyDescent="0.25">
      <c r="B396" s="9" t="e">
        <f t="shared" si="64"/>
        <v>#N/A</v>
      </c>
      <c r="C396" s="10" t="e">
        <f t="shared" si="56"/>
        <v>#N/A</v>
      </c>
      <c r="D396" s="11" t="str">
        <f>IF(ISERROR(B396),"",bsolve($B396,$E$2,$E$4,$E$8,$E$9))</f>
        <v/>
      </c>
      <c r="E396" s="11" t="str">
        <f t="shared" si="57"/>
        <v/>
      </c>
      <c r="F396" s="11" t="str">
        <f t="shared" si="60"/>
        <v/>
      </c>
      <c r="G396" s="11" t="str">
        <f t="shared" si="61"/>
        <v/>
      </c>
      <c r="H396" s="19" t="str">
        <f t="shared" si="58"/>
        <v/>
      </c>
      <c r="I396" s="21">
        <f t="shared" si="62"/>
        <v>0</v>
      </c>
      <c r="J396" s="21" t="e">
        <f t="shared" si="59"/>
        <v>#N/A</v>
      </c>
      <c r="K396" s="21" t="str">
        <f t="shared" si="63"/>
        <v/>
      </c>
    </row>
    <row r="397" spans="2:11" x14ac:dyDescent="0.25">
      <c r="B397" s="9" t="e">
        <f t="shared" si="64"/>
        <v>#N/A</v>
      </c>
      <c r="C397" s="10" t="e">
        <f t="shared" si="56"/>
        <v>#N/A</v>
      </c>
      <c r="D397" s="11" t="str">
        <f>IF(ISERROR(B397),"",bsolve($B397,$E$2,$E$4,$E$8,$E$9))</f>
        <v/>
      </c>
      <c r="E397" s="11" t="str">
        <f t="shared" si="57"/>
        <v/>
      </c>
      <c r="F397" s="11" t="str">
        <f t="shared" si="60"/>
        <v/>
      </c>
      <c r="G397" s="11" t="str">
        <f t="shared" si="61"/>
        <v/>
      </c>
      <c r="H397" s="19" t="str">
        <f t="shared" si="58"/>
        <v/>
      </c>
      <c r="I397" s="21">
        <f t="shared" si="62"/>
        <v>0</v>
      </c>
      <c r="J397" s="21" t="e">
        <f t="shared" si="59"/>
        <v>#N/A</v>
      </c>
      <c r="K397" s="21" t="str">
        <f t="shared" si="63"/>
        <v/>
      </c>
    </row>
    <row r="398" spans="2:11" x14ac:dyDescent="0.25">
      <c r="B398" s="9" t="e">
        <f t="shared" si="64"/>
        <v>#N/A</v>
      </c>
      <c r="C398" s="10" t="e">
        <f t="shared" si="56"/>
        <v>#N/A</v>
      </c>
      <c r="D398" s="11" t="str">
        <f>IF(ISERROR(B398),"",bsolve($B398,$E$2,$E$4,$E$8,$E$9))</f>
        <v/>
      </c>
      <c r="E398" s="11" t="str">
        <f t="shared" si="57"/>
        <v/>
      </c>
      <c r="F398" s="11" t="str">
        <f t="shared" si="60"/>
        <v/>
      </c>
      <c r="G398" s="11" t="str">
        <f t="shared" si="61"/>
        <v/>
      </c>
      <c r="H398" s="19" t="str">
        <f t="shared" si="58"/>
        <v/>
      </c>
      <c r="I398" s="21">
        <f t="shared" si="62"/>
        <v>0</v>
      </c>
      <c r="J398" s="21" t="e">
        <f t="shared" si="59"/>
        <v>#N/A</v>
      </c>
      <c r="K398" s="21" t="str">
        <f t="shared" si="63"/>
        <v/>
      </c>
    </row>
    <row r="399" spans="2:11" x14ac:dyDescent="0.25">
      <c r="B399" s="9" t="e">
        <f t="shared" si="64"/>
        <v>#N/A</v>
      </c>
      <c r="C399" s="10" t="e">
        <f t="shared" si="56"/>
        <v>#N/A</v>
      </c>
      <c r="D399" s="11" t="str">
        <f>IF(ISERROR(B399),"",bsolve($B399,$E$2,$E$4,$E$8,$E$9))</f>
        <v/>
      </c>
      <c r="E399" s="11" t="str">
        <f t="shared" si="57"/>
        <v/>
      </c>
      <c r="F399" s="11" t="str">
        <f t="shared" si="60"/>
        <v/>
      </c>
      <c r="G399" s="11" t="str">
        <f t="shared" si="61"/>
        <v/>
      </c>
      <c r="H399" s="19" t="str">
        <f t="shared" si="58"/>
        <v/>
      </c>
      <c r="I399" s="21">
        <f t="shared" si="62"/>
        <v>0</v>
      </c>
      <c r="J399" s="21" t="e">
        <f t="shared" si="59"/>
        <v>#N/A</v>
      </c>
      <c r="K399" s="21" t="str">
        <f t="shared" si="63"/>
        <v/>
      </c>
    </row>
    <row r="400" spans="2:11" x14ac:dyDescent="0.25">
      <c r="B400" s="9" t="e">
        <f t="shared" si="64"/>
        <v>#N/A</v>
      </c>
      <c r="C400" s="10" t="e">
        <f t="shared" si="56"/>
        <v>#N/A</v>
      </c>
      <c r="D400" s="11" t="str">
        <f>IF(ISERROR(B400),"",bsolve($B400,$E$2,$E$4,$E$8,$E$9))</f>
        <v/>
      </c>
      <c r="E400" s="11" t="str">
        <f t="shared" si="57"/>
        <v/>
      </c>
      <c r="F400" s="11" t="str">
        <f t="shared" si="60"/>
        <v/>
      </c>
      <c r="G400" s="11" t="str">
        <f t="shared" si="61"/>
        <v/>
      </c>
      <c r="H400" s="19" t="str">
        <f t="shared" si="58"/>
        <v/>
      </c>
      <c r="I400" s="21">
        <f t="shared" si="62"/>
        <v>0</v>
      </c>
      <c r="J400" s="21" t="e">
        <f t="shared" si="59"/>
        <v>#N/A</v>
      </c>
      <c r="K400" s="21" t="str">
        <f t="shared" si="63"/>
        <v/>
      </c>
    </row>
    <row r="401" spans="2:11" x14ac:dyDescent="0.25">
      <c r="B401" s="9" t="e">
        <f t="shared" si="64"/>
        <v>#N/A</v>
      </c>
      <c r="C401" s="10" t="e">
        <f t="shared" si="56"/>
        <v>#N/A</v>
      </c>
      <c r="D401" s="11" t="str">
        <f>IF(ISERROR(B401),"",bsolve($B401,$E$2,$E$4,$E$8,$E$9))</f>
        <v/>
      </c>
      <c r="E401" s="11" t="str">
        <f t="shared" si="57"/>
        <v/>
      </c>
      <c r="F401" s="11" t="str">
        <f t="shared" si="60"/>
        <v/>
      </c>
      <c r="G401" s="11" t="str">
        <f t="shared" si="61"/>
        <v/>
      </c>
      <c r="H401" s="19" t="str">
        <f t="shared" si="58"/>
        <v/>
      </c>
      <c r="I401" s="21">
        <f t="shared" si="62"/>
        <v>0</v>
      </c>
      <c r="J401" s="21" t="e">
        <f t="shared" si="59"/>
        <v>#N/A</v>
      </c>
      <c r="K401" s="21" t="str">
        <f t="shared" si="63"/>
        <v/>
      </c>
    </row>
    <row r="402" spans="2:11" x14ac:dyDescent="0.25">
      <c r="B402" s="9" t="e">
        <f t="shared" si="64"/>
        <v>#N/A</v>
      </c>
      <c r="C402" s="10" t="e">
        <f t="shared" ref="C402:C465" si="65">IF(B402="","",100*B402/$E$2)</f>
        <v>#N/A</v>
      </c>
      <c r="D402" s="11" t="str">
        <f>IF(ISERROR(B402),"",bsolve($B402,$E$2,$E$4,$E$8,$E$9))</f>
        <v/>
      </c>
      <c r="E402" s="11" t="str">
        <f t="shared" ref="E402:E465" si="66">IF(ISERROR(B402),"",IF(AND($E$7&lt;$E$5,C402&gt;=($E$5*100)),D402,0))</f>
        <v/>
      </c>
      <c r="F402" s="11" t="str">
        <f t="shared" si="60"/>
        <v/>
      </c>
      <c r="G402" s="11" t="str">
        <f t="shared" si="61"/>
        <v/>
      </c>
      <c r="H402" s="19" t="str">
        <f t="shared" ref="H402:H465" si="67">IF(ISERROR(B402),"",100*((B402*(1-$E$9))+($E$2-B402)*$E$8)/$E$2)</f>
        <v/>
      </c>
      <c r="I402" s="21">
        <f t="shared" si="62"/>
        <v>0</v>
      </c>
      <c r="J402" s="21" t="e">
        <f t="shared" ref="J402:J465" si="68">IF(ISERROR(B402),NA(),IF(AND(H402&gt;=$E$5*100,B402/$E$2&lt;$E$5),H402,NA()))</f>
        <v>#N/A</v>
      </c>
      <c r="K402" s="21" t="str">
        <f t="shared" si="63"/>
        <v/>
      </c>
    </row>
    <row r="403" spans="2:11" x14ac:dyDescent="0.25">
      <c r="B403" s="9" t="e">
        <f t="shared" si="64"/>
        <v>#N/A</v>
      </c>
      <c r="C403" s="10" t="e">
        <f t="shared" si="65"/>
        <v>#N/A</v>
      </c>
      <c r="D403" s="11" t="str">
        <f>IF(ISERROR(B403),"",bsolve($B403,$E$2,$E$4,$E$8,$E$9))</f>
        <v/>
      </c>
      <c r="E403" s="11" t="str">
        <f t="shared" si="66"/>
        <v/>
      </c>
      <c r="F403" s="11" t="str">
        <f t="shared" ref="F403:F466" si="69">IF(ISERROR(B403),"",IF(AND($E$7&gt;=$E$5,C403&lt;($E$5*100)),D403,0))</f>
        <v/>
      </c>
      <c r="G403" s="11" t="str">
        <f t="shared" ref="G403:G466" si="70">IF(ISERROR(B403),"",IF(C403&gt;=$E$5*100,D403,""))</f>
        <v/>
      </c>
      <c r="H403" s="19" t="str">
        <f t="shared" si="67"/>
        <v/>
      </c>
      <c r="I403" s="21">
        <f t="shared" ref="I403:I466" si="71">IF(NOT(ISERROR(J403)),B403,0)</f>
        <v>0</v>
      </c>
      <c r="J403" s="21" t="e">
        <f t="shared" si="68"/>
        <v>#N/A</v>
      </c>
      <c r="K403" s="21" t="str">
        <f t="shared" ref="K403:K466" si="72">IF(AND(I403=0,I404&gt;0),B403,"")</f>
        <v/>
      </c>
    </row>
    <row r="404" spans="2:11" x14ac:dyDescent="0.25">
      <c r="B404" s="9" t="e">
        <f t="shared" ref="B404:B467" si="73">IF(ROW()-18&lt;=$E$2,B403+1,NA())</f>
        <v>#N/A</v>
      </c>
      <c r="C404" s="10" t="e">
        <f t="shared" si="65"/>
        <v>#N/A</v>
      </c>
      <c r="D404" s="11" t="str">
        <f>IF(ISERROR(B404),"",bsolve($B404,$E$2,$E$4,$E$8,$E$9))</f>
        <v/>
      </c>
      <c r="E404" s="11" t="str">
        <f t="shared" si="66"/>
        <v/>
      </c>
      <c r="F404" s="11" t="str">
        <f t="shared" si="69"/>
        <v/>
      </c>
      <c r="G404" s="11" t="str">
        <f t="shared" si="70"/>
        <v/>
      </c>
      <c r="H404" s="19" t="str">
        <f t="shared" si="67"/>
        <v/>
      </c>
      <c r="I404" s="21">
        <f t="shared" si="71"/>
        <v>0</v>
      </c>
      <c r="J404" s="21" t="e">
        <f t="shared" si="68"/>
        <v>#N/A</v>
      </c>
      <c r="K404" s="21" t="str">
        <f t="shared" si="72"/>
        <v/>
      </c>
    </row>
    <row r="405" spans="2:11" x14ac:dyDescent="0.25">
      <c r="B405" s="9" t="e">
        <f t="shared" si="73"/>
        <v>#N/A</v>
      </c>
      <c r="C405" s="10" t="e">
        <f t="shared" si="65"/>
        <v>#N/A</v>
      </c>
      <c r="D405" s="11" t="str">
        <f>IF(ISERROR(B405),"",bsolve($B405,$E$2,$E$4,$E$8,$E$9))</f>
        <v/>
      </c>
      <c r="E405" s="11" t="str">
        <f t="shared" si="66"/>
        <v/>
      </c>
      <c r="F405" s="11" t="str">
        <f t="shared" si="69"/>
        <v/>
      </c>
      <c r="G405" s="11" t="str">
        <f t="shared" si="70"/>
        <v/>
      </c>
      <c r="H405" s="19" t="str">
        <f t="shared" si="67"/>
        <v/>
      </c>
      <c r="I405" s="21">
        <f t="shared" si="71"/>
        <v>0</v>
      </c>
      <c r="J405" s="21" t="e">
        <f t="shared" si="68"/>
        <v>#N/A</v>
      </c>
      <c r="K405" s="21" t="str">
        <f t="shared" si="72"/>
        <v/>
      </c>
    </row>
    <row r="406" spans="2:11" x14ac:dyDescent="0.25">
      <c r="B406" s="9" t="e">
        <f t="shared" si="73"/>
        <v>#N/A</v>
      </c>
      <c r="C406" s="10" t="e">
        <f t="shared" si="65"/>
        <v>#N/A</v>
      </c>
      <c r="D406" s="11" t="str">
        <f>IF(ISERROR(B406),"",bsolve($B406,$E$2,$E$4,$E$8,$E$9))</f>
        <v/>
      </c>
      <c r="E406" s="11" t="str">
        <f t="shared" si="66"/>
        <v/>
      </c>
      <c r="F406" s="11" t="str">
        <f t="shared" si="69"/>
        <v/>
      </c>
      <c r="G406" s="11" t="str">
        <f t="shared" si="70"/>
        <v/>
      </c>
      <c r="H406" s="19" t="str">
        <f t="shared" si="67"/>
        <v/>
      </c>
      <c r="I406" s="21">
        <f t="shared" si="71"/>
        <v>0</v>
      </c>
      <c r="J406" s="21" t="e">
        <f t="shared" si="68"/>
        <v>#N/A</v>
      </c>
      <c r="K406" s="21" t="str">
        <f t="shared" si="72"/>
        <v/>
      </c>
    </row>
    <row r="407" spans="2:11" x14ac:dyDescent="0.25">
      <c r="B407" s="9" t="e">
        <f t="shared" si="73"/>
        <v>#N/A</v>
      </c>
      <c r="C407" s="10" t="e">
        <f t="shared" si="65"/>
        <v>#N/A</v>
      </c>
      <c r="D407" s="11" t="str">
        <f>IF(ISERROR(B407),"",bsolve($B407,$E$2,$E$4,$E$8,$E$9))</f>
        <v/>
      </c>
      <c r="E407" s="11" t="str">
        <f t="shared" si="66"/>
        <v/>
      </c>
      <c r="F407" s="11" t="str">
        <f t="shared" si="69"/>
        <v/>
      </c>
      <c r="G407" s="11" t="str">
        <f t="shared" si="70"/>
        <v/>
      </c>
      <c r="H407" s="19" t="str">
        <f t="shared" si="67"/>
        <v/>
      </c>
      <c r="I407" s="21">
        <f t="shared" si="71"/>
        <v>0</v>
      </c>
      <c r="J407" s="21" t="e">
        <f t="shared" si="68"/>
        <v>#N/A</v>
      </c>
      <c r="K407" s="21" t="str">
        <f t="shared" si="72"/>
        <v/>
      </c>
    </row>
    <row r="408" spans="2:11" x14ac:dyDescent="0.25">
      <c r="B408" s="9" t="e">
        <f t="shared" si="73"/>
        <v>#N/A</v>
      </c>
      <c r="C408" s="10" t="e">
        <f t="shared" si="65"/>
        <v>#N/A</v>
      </c>
      <c r="D408" s="11" t="str">
        <f>IF(ISERROR(B408),"",bsolve($B408,$E$2,$E$4,$E$8,$E$9))</f>
        <v/>
      </c>
      <c r="E408" s="11" t="str">
        <f t="shared" si="66"/>
        <v/>
      </c>
      <c r="F408" s="11" t="str">
        <f t="shared" si="69"/>
        <v/>
      </c>
      <c r="G408" s="11" t="str">
        <f t="shared" si="70"/>
        <v/>
      </c>
      <c r="H408" s="19" t="str">
        <f t="shared" si="67"/>
        <v/>
      </c>
      <c r="I408" s="21">
        <f t="shared" si="71"/>
        <v>0</v>
      </c>
      <c r="J408" s="21" t="e">
        <f t="shared" si="68"/>
        <v>#N/A</v>
      </c>
      <c r="K408" s="21" t="str">
        <f t="shared" si="72"/>
        <v/>
      </c>
    </row>
    <row r="409" spans="2:11" x14ac:dyDescent="0.25">
      <c r="B409" s="9" t="e">
        <f t="shared" si="73"/>
        <v>#N/A</v>
      </c>
      <c r="C409" s="10" t="e">
        <f t="shared" si="65"/>
        <v>#N/A</v>
      </c>
      <c r="D409" s="11" t="str">
        <f>IF(ISERROR(B409),"",bsolve($B409,$E$2,$E$4,$E$8,$E$9))</f>
        <v/>
      </c>
      <c r="E409" s="11" t="str">
        <f t="shared" si="66"/>
        <v/>
      </c>
      <c r="F409" s="11" t="str">
        <f t="shared" si="69"/>
        <v/>
      </c>
      <c r="G409" s="11" t="str">
        <f t="shared" si="70"/>
        <v/>
      </c>
      <c r="H409" s="19" t="str">
        <f t="shared" si="67"/>
        <v/>
      </c>
      <c r="I409" s="21">
        <f t="shared" si="71"/>
        <v>0</v>
      </c>
      <c r="J409" s="21" t="e">
        <f t="shared" si="68"/>
        <v>#N/A</v>
      </c>
      <c r="K409" s="21" t="str">
        <f t="shared" si="72"/>
        <v/>
      </c>
    </row>
    <row r="410" spans="2:11" x14ac:dyDescent="0.25">
      <c r="B410" s="9" t="e">
        <f t="shared" si="73"/>
        <v>#N/A</v>
      </c>
      <c r="C410" s="10" t="e">
        <f t="shared" si="65"/>
        <v>#N/A</v>
      </c>
      <c r="D410" s="11" t="str">
        <f>IF(ISERROR(B410),"",bsolve($B410,$E$2,$E$4,$E$8,$E$9))</f>
        <v/>
      </c>
      <c r="E410" s="11" t="str">
        <f t="shared" si="66"/>
        <v/>
      </c>
      <c r="F410" s="11" t="str">
        <f t="shared" si="69"/>
        <v/>
      </c>
      <c r="G410" s="11" t="str">
        <f t="shared" si="70"/>
        <v/>
      </c>
      <c r="H410" s="19" t="str">
        <f t="shared" si="67"/>
        <v/>
      </c>
      <c r="I410" s="21">
        <f t="shared" si="71"/>
        <v>0</v>
      </c>
      <c r="J410" s="21" t="e">
        <f t="shared" si="68"/>
        <v>#N/A</v>
      </c>
      <c r="K410" s="21" t="str">
        <f t="shared" si="72"/>
        <v/>
      </c>
    </row>
    <row r="411" spans="2:11" x14ac:dyDescent="0.25">
      <c r="B411" s="9" t="e">
        <f t="shared" si="73"/>
        <v>#N/A</v>
      </c>
      <c r="C411" s="10" t="e">
        <f t="shared" si="65"/>
        <v>#N/A</v>
      </c>
      <c r="D411" s="11" t="str">
        <f>IF(ISERROR(B411),"",bsolve($B411,$E$2,$E$4,$E$8,$E$9))</f>
        <v/>
      </c>
      <c r="E411" s="11" t="str">
        <f t="shared" si="66"/>
        <v/>
      </c>
      <c r="F411" s="11" t="str">
        <f t="shared" si="69"/>
        <v/>
      </c>
      <c r="G411" s="11" t="str">
        <f t="shared" si="70"/>
        <v/>
      </c>
      <c r="H411" s="19" t="str">
        <f t="shared" si="67"/>
        <v/>
      </c>
      <c r="I411" s="21">
        <f t="shared" si="71"/>
        <v>0</v>
      </c>
      <c r="J411" s="21" t="e">
        <f t="shared" si="68"/>
        <v>#N/A</v>
      </c>
      <c r="K411" s="21" t="str">
        <f t="shared" si="72"/>
        <v/>
      </c>
    </row>
    <row r="412" spans="2:11" x14ac:dyDescent="0.25">
      <c r="B412" s="9" t="e">
        <f t="shared" si="73"/>
        <v>#N/A</v>
      </c>
      <c r="C412" s="10" t="e">
        <f t="shared" si="65"/>
        <v>#N/A</v>
      </c>
      <c r="D412" s="11" t="str">
        <f>IF(ISERROR(B412),"",bsolve($B412,$E$2,$E$4,$E$8,$E$9))</f>
        <v/>
      </c>
      <c r="E412" s="11" t="str">
        <f t="shared" si="66"/>
        <v/>
      </c>
      <c r="F412" s="11" t="str">
        <f t="shared" si="69"/>
        <v/>
      </c>
      <c r="G412" s="11" t="str">
        <f t="shared" si="70"/>
        <v/>
      </c>
      <c r="H412" s="19" t="str">
        <f t="shared" si="67"/>
        <v/>
      </c>
      <c r="I412" s="21">
        <f t="shared" si="71"/>
        <v>0</v>
      </c>
      <c r="J412" s="21" t="e">
        <f t="shared" si="68"/>
        <v>#N/A</v>
      </c>
      <c r="K412" s="21" t="str">
        <f t="shared" si="72"/>
        <v/>
      </c>
    </row>
    <row r="413" spans="2:11" x14ac:dyDescent="0.25">
      <c r="B413" s="9" t="e">
        <f t="shared" si="73"/>
        <v>#N/A</v>
      </c>
      <c r="C413" s="10" t="e">
        <f t="shared" si="65"/>
        <v>#N/A</v>
      </c>
      <c r="D413" s="11" t="str">
        <f>IF(ISERROR(B413),"",bsolve($B413,$E$2,$E$4,$E$8,$E$9))</f>
        <v/>
      </c>
      <c r="E413" s="11" t="str">
        <f t="shared" si="66"/>
        <v/>
      </c>
      <c r="F413" s="11" t="str">
        <f t="shared" si="69"/>
        <v/>
      </c>
      <c r="G413" s="11" t="str">
        <f t="shared" si="70"/>
        <v/>
      </c>
      <c r="H413" s="19" t="str">
        <f t="shared" si="67"/>
        <v/>
      </c>
      <c r="I413" s="21">
        <f t="shared" si="71"/>
        <v>0</v>
      </c>
      <c r="J413" s="21" t="e">
        <f t="shared" si="68"/>
        <v>#N/A</v>
      </c>
      <c r="K413" s="21" t="str">
        <f t="shared" si="72"/>
        <v/>
      </c>
    </row>
    <row r="414" spans="2:11" x14ac:dyDescent="0.25">
      <c r="B414" s="9" t="e">
        <f t="shared" si="73"/>
        <v>#N/A</v>
      </c>
      <c r="C414" s="10" t="e">
        <f t="shared" si="65"/>
        <v>#N/A</v>
      </c>
      <c r="D414" s="11" t="str">
        <f>IF(ISERROR(B414),"",bsolve($B414,$E$2,$E$4,$E$8,$E$9))</f>
        <v/>
      </c>
      <c r="E414" s="11" t="str">
        <f t="shared" si="66"/>
        <v/>
      </c>
      <c r="F414" s="11" t="str">
        <f t="shared" si="69"/>
        <v/>
      </c>
      <c r="G414" s="11" t="str">
        <f t="shared" si="70"/>
        <v/>
      </c>
      <c r="H414" s="19" t="str">
        <f t="shared" si="67"/>
        <v/>
      </c>
      <c r="I414" s="21">
        <f t="shared" si="71"/>
        <v>0</v>
      </c>
      <c r="J414" s="21" t="e">
        <f t="shared" si="68"/>
        <v>#N/A</v>
      </c>
      <c r="K414" s="21" t="str">
        <f t="shared" si="72"/>
        <v/>
      </c>
    </row>
    <row r="415" spans="2:11" x14ac:dyDescent="0.25">
      <c r="B415" s="9" t="e">
        <f t="shared" si="73"/>
        <v>#N/A</v>
      </c>
      <c r="C415" s="10" t="e">
        <f t="shared" si="65"/>
        <v>#N/A</v>
      </c>
      <c r="D415" s="11" t="str">
        <f>IF(ISERROR(B415),"",bsolve($B415,$E$2,$E$4,$E$8,$E$9))</f>
        <v/>
      </c>
      <c r="E415" s="11" t="str">
        <f t="shared" si="66"/>
        <v/>
      </c>
      <c r="F415" s="11" t="str">
        <f t="shared" si="69"/>
        <v/>
      </c>
      <c r="G415" s="11" t="str">
        <f t="shared" si="70"/>
        <v/>
      </c>
      <c r="H415" s="19" t="str">
        <f t="shared" si="67"/>
        <v/>
      </c>
      <c r="I415" s="21">
        <f t="shared" si="71"/>
        <v>0</v>
      </c>
      <c r="J415" s="21" t="e">
        <f t="shared" si="68"/>
        <v>#N/A</v>
      </c>
      <c r="K415" s="21" t="str">
        <f t="shared" si="72"/>
        <v/>
      </c>
    </row>
    <row r="416" spans="2:11" x14ac:dyDescent="0.25">
      <c r="B416" s="9" t="e">
        <f t="shared" si="73"/>
        <v>#N/A</v>
      </c>
      <c r="C416" s="10" t="e">
        <f t="shared" si="65"/>
        <v>#N/A</v>
      </c>
      <c r="D416" s="11" t="str">
        <f>IF(ISERROR(B416),"",bsolve($B416,$E$2,$E$4,$E$8,$E$9))</f>
        <v/>
      </c>
      <c r="E416" s="11" t="str">
        <f t="shared" si="66"/>
        <v/>
      </c>
      <c r="F416" s="11" t="str">
        <f t="shared" si="69"/>
        <v/>
      </c>
      <c r="G416" s="11" t="str">
        <f t="shared" si="70"/>
        <v/>
      </c>
      <c r="H416" s="19" t="str">
        <f t="shared" si="67"/>
        <v/>
      </c>
      <c r="I416" s="21">
        <f t="shared" si="71"/>
        <v>0</v>
      </c>
      <c r="J416" s="21" t="e">
        <f t="shared" si="68"/>
        <v>#N/A</v>
      </c>
      <c r="K416" s="21" t="str">
        <f t="shared" si="72"/>
        <v/>
      </c>
    </row>
    <row r="417" spans="2:11" x14ac:dyDescent="0.25">
      <c r="B417" s="9" t="e">
        <f t="shared" si="73"/>
        <v>#N/A</v>
      </c>
      <c r="C417" s="10" t="e">
        <f t="shared" si="65"/>
        <v>#N/A</v>
      </c>
      <c r="D417" s="11" t="str">
        <f>IF(ISERROR(B417),"",bsolve($B417,$E$2,$E$4,$E$8,$E$9))</f>
        <v/>
      </c>
      <c r="E417" s="11" t="str">
        <f t="shared" si="66"/>
        <v/>
      </c>
      <c r="F417" s="11" t="str">
        <f t="shared" si="69"/>
        <v/>
      </c>
      <c r="G417" s="11" t="str">
        <f t="shared" si="70"/>
        <v/>
      </c>
      <c r="H417" s="19" t="str">
        <f t="shared" si="67"/>
        <v/>
      </c>
      <c r="I417" s="21">
        <f t="shared" si="71"/>
        <v>0</v>
      </c>
      <c r="J417" s="21" t="e">
        <f t="shared" si="68"/>
        <v>#N/A</v>
      </c>
      <c r="K417" s="21" t="str">
        <f t="shared" si="72"/>
        <v/>
      </c>
    </row>
    <row r="418" spans="2:11" x14ac:dyDescent="0.25">
      <c r="B418" s="9" t="e">
        <f t="shared" si="73"/>
        <v>#N/A</v>
      </c>
      <c r="C418" s="10" t="e">
        <f t="shared" si="65"/>
        <v>#N/A</v>
      </c>
      <c r="D418" s="11" t="str">
        <f>IF(ISERROR(B418),"",bsolve($B418,$E$2,$E$4,$E$8,$E$9))</f>
        <v/>
      </c>
      <c r="E418" s="11" t="str">
        <f t="shared" si="66"/>
        <v/>
      </c>
      <c r="F418" s="11" t="str">
        <f t="shared" si="69"/>
        <v/>
      </c>
      <c r="G418" s="11" t="str">
        <f t="shared" si="70"/>
        <v/>
      </c>
      <c r="H418" s="19" t="str">
        <f t="shared" si="67"/>
        <v/>
      </c>
      <c r="I418" s="21">
        <f t="shared" si="71"/>
        <v>0</v>
      </c>
      <c r="J418" s="21" t="e">
        <f t="shared" si="68"/>
        <v>#N/A</v>
      </c>
      <c r="K418" s="21" t="str">
        <f t="shared" si="72"/>
        <v/>
      </c>
    </row>
    <row r="419" spans="2:11" x14ac:dyDescent="0.25">
      <c r="B419" s="9" t="e">
        <f t="shared" si="73"/>
        <v>#N/A</v>
      </c>
      <c r="C419" s="10" t="e">
        <f t="shared" si="65"/>
        <v>#N/A</v>
      </c>
      <c r="D419" s="11" t="str">
        <f>IF(ISERROR(B419),"",bsolve($B419,$E$2,$E$4,$E$8,$E$9))</f>
        <v/>
      </c>
      <c r="E419" s="11" t="str">
        <f t="shared" si="66"/>
        <v/>
      </c>
      <c r="F419" s="11" t="str">
        <f t="shared" si="69"/>
        <v/>
      </c>
      <c r="G419" s="11" t="str">
        <f t="shared" si="70"/>
        <v/>
      </c>
      <c r="H419" s="19" t="str">
        <f t="shared" si="67"/>
        <v/>
      </c>
      <c r="I419" s="21">
        <f t="shared" si="71"/>
        <v>0</v>
      </c>
      <c r="J419" s="21" t="e">
        <f t="shared" si="68"/>
        <v>#N/A</v>
      </c>
      <c r="K419" s="21" t="str">
        <f t="shared" si="72"/>
        <v/>
      </c>
    </row>
    <row r="420" spans="2:11" x14ac:dyDescent="0.25">
      <c r="B420" s="9" t="e">
        <f t="shared" si="73"/>
        <v>#N/A</v>
      </c>
      <c r="C420" s="10" t="e">
        <f t="shared" si="65"/>
        <v>#N/A</v>
      </c>
      <c r="D420" s="11" t="str">
        <f>IF(ISERROR(B420),"",bsolve($B420,$E$2,$E$4,$E$8,$E$9))</f>
        <v/>
      </c>
      <c r="E420" s="11" t="str">
        <f t="shared" si="66"/>
        <v/>
      </c>
      <c r="F420" s="11" t="str">
        <f t="shared" si="69"/>
        <v/>
      </c>
      <c r="G420" s="11" t="str">
        <f t="shared" si="70"/>
        <v/>
      </c>
      <c r="H420" s="19" t="str">
        <f t="shared" si="67"/>
        <v/>
      </c>
      <c r="I420" s="21">
        <f t="shared" si="71"/>
        <v>0</v>
      </c>
      <c r="J420" s="21" t="e">
        <f t="shared" si="68"/>
        <v>#N/A</v>
      </c>
      <c r="K420" s="21" t="str">
        <f t="shared" si="72"/>
        <v/>
      </c>
    </row>
    <row r="421" spans="2:11" x14ac:dyDescent="0.25">
      <c r="B421" s="9" t="e">
        <f t="shared" si="73"/>
        <v>#N/A</v>
      </c>
      <c r="C421" s="10" t="e">
        <f t="shared" si="65"/>
        <v>#N/A</v>
      </c>
      <c r="D421" s="11" t="str">
        <f>IF(ISERROR(B421),"",bsolve($B421,$E$2,$E$4,$E$8,$E$9))</f>
        <v/>
      </c>
      <c r="E421" s="11" t="str">
        <f t="shared" si="66"/>
        <v/>
      </c>
      <c r="F421" s="11" t="str">
        <f t="shared" si="69"/>
        <v/>
      </c>
      <c r="G421" s="11" t="str">
        <f t="shared" si="70"/>
        <v/>
      </c>
      <c r="H421" s="19" t="str">
        <f t="shared" si="67"/>
        <v/>
      </c>
      <c r="I421" s="21">
        <f t="shared" si="71"/>
        <v>0</v>
      </c>
      <c r="J421" s="21" t="e">
        <f t="shared" si="68"/>
        <v>#N/A</v>
      </c>
      <c r="K421" s="21" t="str">
        <f t="shared" si="72"/>
        <v/>
      </c>
    </row>
    <row r="422" spans="2:11" x14ac:dyDescent="0.25">
      <c r="B422" s="9" t="e">
        <f t="shared" si="73"/>
        <v>#N/A</v>
      </c>
      <c r="C422" s="10" t="e">
        <f t="shared" si="65"/>
        <v>#N/A</v>
      </c>
      <c r="D422" s="11" t="str">
        <f>IF(ISERROR(B422),"",bsolve($B422,$E$2,$E$4,$E$8,$E$9))</f>
        <v/>
      </c>
      <c r="E422" s="11" t="str">
        <f t="shared" si="66"/>
        <v/>
      </c>
      <c r="F422" s="11" t="str">
        <f t="shared" si="69"/>
        <v/>
      </c>
      <c r="G422" s="11" t="str">
        <f t="shared" si="70"/>
        <v/>
      </c>
      <c r="H422" s="19" t="str">
        <f t="shared" si="67"/>
        <v/>
      </c>
      <c r="I422" s="21">
        <f t="shared" si="71"/>
        <v>0</v>
      </c>
      <c r="J422" s="21" t="e">
        <f t="shared" si="68"/>
        <v>#N/A</v>
      </c>
      <c r="K422" s="21" t="str">
        <f t="shared" si="72"/>
        <v/>
      </c>
    </row>
    <row r="423" spans="2:11" x14ac:dyDescent="0.25">
      <c r="B423" s="9" t="e">
        <f t="shared" si="73"/>
        <v>#N/A</v>
      </c>
      <c r="C423" s="10" t="e">
        <f t="shared" si="65"/>
        <v>#N/A</v>
      </c>
      <c r="D423" s="11" t="str">
        <f>IF(ISERROR(B423),"",bsolve($B423,$E$2,$E$4,$E$8,$E$9))</f>
        <v/>
      </c>
      <c r="E423" s="11" t="str">
        <f t="shared" si="66"/>
        <v/>
      </c>
      <c r="F423" s="11" t="str">
        <f t="shared" si="69"/>
        <v/>
      </c>
      <c r="G423" s="11" t="str">
        <f t="shared" si="70"/>
        <v/>
      </c>
      <c r="H423" s="19" t="str">
        <f t="shared" si="67"/>
        <v/>
      </c>
      <c r="I423" s="21">
        <f t="shared" si="71"/>
        <v>0</v>
      </c>
      <c r="J423" s="21" t="e">
        <f t="shared" si="68"/>
        <v>#N/A</v>
      </c>
      <c r="K423" s="21" t="str">
        <f t="shared" si="72"/>
        <v/>
      </c>
    </row>
    <row r="424" spans="2:11" x14ac:dyDescent="0.25">
      <c r="B424" s="9" t="e">
        <f t="shared" si="73"/>
        <v>#N/A</v>
      </c>
      <c r="C424" s="10" t="e">
        <f t="shared" si="65"/>
        <v>#N/A</v>
      </c>
      <c r="D424" s="11" t="str">
        <f>IF(ISERROR(B424),"",bsolve($B424,$E$2,$E$4,$E$8,$E$9))</f>
        <v/>
      </c>
      <c r="E424" s="11" t="str">
        <f t="shared" si="66"/>
        <v/>
      </c>
      <c r="F424" s="11" t="str">
        <f t="shared" si="69"/>
        <v/>
      </c>
      <c r="G424" s="11" t="str">
        <f t="shared" si="70"/>
        <v/>
      </c>
      <c r="H424" s="19" t="str">
        <f t="shared" si="67"/>
        <v/>
      </c>
      <c r="I424" s="21">
        <f t="shared" si="71"/>
        <v>0</v>
      </c>
      <c r="J424" s="21" t="e">
        <f t="shared" si="68"/>
        <v>#N/A</v>
      </c>
      <c r="K424" s="21" t="str">
        <f t="shared" si="72"/>
        <v/>
      </c>
    </row>
    <row r="425" spans="2:11" x14ac:dyDescent="0.25">
      <c r="B425" s="9" t="e">
        <f t="shared" si="73"/>
        <v>#N/A</v>
      </c>
      <c r="C425" s="10" t="e">
        <f t="shared" si="65"/>
        <v>#N/A</v>
      </c>
      <c r="D425" s="11" t="str">
        <f>IF(ISERROR(B425),"",bsolve($B425,$E$2,$E$4,$E$8,$E$9))</f>
        <v/>
      </c>
      <c r="E425" s="11" t="str">
        <f t="shared" si="66"/>
        <v/>
      </c>
      <c r="F425" s="11" t="str">
        <f t="shared" si="69"/>
        <v/>
      </c>
      <c r="G425" s="11" t="str">
        <f t="shared" si="70"/>
        <v/>
      </c>
      <c r="H425" s="19" t="str">
        <f t="shared" si="67"/>
        <v/>
      </c>
      <c r="I425" s="21">
        <f t="shared" si="71"/>
        <v>0</v>
      </c>
      <c r="J425" s="21" t="e">
        <f t="shared" si="68"/>
        <v>#N/A</v>
      </c>
      <c r="K425" s="21" t="str">
        <f t="shared" si="72"/>
        <v/>
      </c>
    </row>
    <row r="426" spans="2:11" x14ac:dyDescent="0.25">
      <c r="B426" s="9" t="e">
        <f t="shared" si="73"/>
        <v>#N/A</v>
      </c>
      <c r="C426" s="10" t="e">
        <f t="shared" si="65"/>
        <v>#N/A</v>
      </c>
      <c r="D426" s="11" t="str">
        <f>IF(ISERROR(B426),"",bsolve($B426,$E$2,$E$4,$E$8,$E$9))</f>
        <v/>
      </c>
      <c r="E426" s="11" t="str">
        <f t="shared" si="66"/>
        <v/>
      </c>
      <c r="F426" s="11" t="str">
        <f t="shared" si="69"/>
        <v/>
      </c>
      <c r="G426" s="11" t="str">
        <f t="shared" si="70"/>
        <v/>
      </c>
      <c r="H426" s="19" t="str">
        <f t="shared" si="67"/>
        <v/>
      </c>
      <c r="I426" s="21">
        <f t="shared" si="71"/>
        <v>0</v>
      </c>
      <c r="J426" s="21" t="e">
        <f t="shared" si="68"/>
        <v>#N/A</v>
      </c>
      <c r="K426" s="21" t="str">
        <f t="shared" si="72"/>
        <v/>
      </c>
    </row>
    <row r="427" spans="2:11" x14ac:dyDescent="0.25">
      <c r="B427" s="9" t="e">
        <f t="shared" si="73"/>
        <v>#N/A</v>
      </c>
      <c r="C427" s="10" t="e">
        <f t="shared" si="65"/>
        <v>#N/A</v>
      </c>
      <c r="D427" s="11" t="str">
        <f>IF(ISERROR(B427),"",bsolve($B427,$E$2,$E$4,$E$8,$E$9))</f>
        <v/>
      </c>
      <c r="E427" s="11" t="str">
        <f t="shared" si="66"/>
        <v/>
      </c>
      <c r="F427" s="11" t="str">
        <f t="shared" si="69"/>
        <v/>
      </c>
      <c r="G427" s="11" t="str">
        <f t="shared" si="70"/>
        <v/>
      </c>
      <c r="H427" s="19" t="str">
        <f t="shared" si="67"/>
        <v/>
      </c>
      <c r="I427" s="21">
        <f t="shared" si="71"/>
        <v>0</v>
      </c>
      <c r="J427" s="21" t="e">
        <f t="shared" si="68"/>
        <v>#N/A</v>
      </c>
      <c r="K427" s="21" t="str">
        <f t="shared" si="72"/>
        <v/>
      </c>
    </row>
    <row r="428" spans="2:11" x14ac:dyDescent="0.25">
      <c r="B428" s="9" t="e">
        <f t="shared" si="73"/>
        <v>#N/A</v>
      </c>
      <c r="C428" s="10" t="e">
        <f t="shared" si="65"/>
        <v>#N/A</v>
      </c>
      <c r="D428" s="11" t="str">
        <f>IF(ISERROR(B428),"",bsolve($B428,$E$2,$E$4,$E$8,$E$9))</f>
        <v/>
      </c>
      <c r="E428" s="11" t="str">
        <f t="shared" si="66"/>
        <v/>
      </c>
      <c r="F428" s="11" t="str">
        <f t="shared" si="69"/>
        <v/>
      </c>
      <c r="G428" s="11" t="str">
        <f t="shared" si="70"/>
        <v/>
      </c>
      <c r="H428" s="19" t="str">
        <f t="shared" si="67"/>
        <v/>
      </c>
      <c r="I428" s="21">
        <f t="shared" si="71"/>
        <v>0</v>
      </c>
      <c r="J428" s="21" t="e">
        <f t="shared" si="68"/>
        <v>#N/A</v>
      </c>
      <c r="K428" s="21" t="str">
        <f t="shared" si="72"/>
        <v/>
      </c>
    </row>
    <row r="429" spans="2:11" x14ac:dyDescent="0.25">
      <c r="B429" s="9" t="e">
        <f t="shared" si="73"/>
        <v>#N/A</v>
      </c>
      <c r="C429" s="10" t="e">
        <f t="shared" si="65"/>
        <v>#N/A</v>
      </c>
      <c r="D429" s="11" t="str">
        <f>IF(ISERROR(B429),"",bsolve($B429,$E$2,$E$4,$E$8,$E$9))</f>
        <v/>
      </c>
      <c r="E429" s="11" t="str">
        <f t="shared" si="66"/>
        <v/>
      </c>
      <c r="F429" s="11" t="str">
        <f t="shared" si="69"/>
        <v/>
      </c>
      <c r="G429" s="11" t="str">
        <f t="shared" si="70"/>
        <v/>
      </c>
      <c r="H429" s="19" t="str">
        <f t="shared" si="67"/>
        <v/>
      </c>
      <c r="I429" s="21">
        <f t="shared" si="71"/>
        <v>0</v>
      </c>
      <c r="J429" s="21" t="e">
        <f t="shared" si="68"/>
        <v>#N/A</v>
      </c>
      <c r="K429" s="21" t="str">
        <f t="shared" si="72"/>
        <v/>
      </c>
    </row>
    <row r="430" spans="2:11" x14ac:dyDescent="0.25">
      <c r="B430" s="9" t="e">
        <f t="shared" si="73"/>
        <v>#N/A</v>
      </c>
      <c r="C430" s="10" t="e">
        <f t="shared" si="65"/>
        <v>#N/A</v>
      </c>
      <c r="D430" s="11" t="str">
        <f>IF(ISERROR(B430),"",bsolve($B430,$E$2,$E$4,$E$8,$E$9))</f>
        <v/>
      </c>
      <c r="E430" s="11" t="str">
        <f t="shared" si="66"/>
        <v/>
      </c>
      <c r="F430" s="11" t="str">
        <f t="shared" si="69"/>
        <v/>
      </c>
      <c r="G430" s="11" t="str">
        <f t="shared" si="70"/>
        <v/>
      </c>
      <c r="H430" s="19" t="str">
        <f t="shared" si="67"/>
        <v/>
      </c>
      <c r="I430" s="21">
        <f t="shared" si="71"/>
        <v>0</v>
      </c>
      <c r="J430" s="21" t="e">
        <f t="shared" si="68"/>
        <v>#N/A</v>
      </c>
      <c r="K430" s="21" t="str">
        <f t="shared" si="72"/>
        <v/>
      </c>
    </row>
    <row r="431" spans="2:11" x14ac:dyDescent="0.25">
      <c r="B431" s="9" t="e">
        <f t="shared" si="73"/>
        <v>#N/A</v>
      </c>
      <c r="C431" s="10" t="e">
        <f t="shared" si="65"/>
        <v>#N/A</v>
      </c>
      <c r="D431" s="11" t="str">
        <f>IF(ISERROR(B431),"",bsolve($B431,$E$2,$E$4,$E$8,$E$9))</f>
        <v/>
      </c>
      <c r="E431" s="11" t="str">
        <f t="shared" si="66"/>
        <v/>
      </c>
      <c r="F431" s="11" t="str">
        <f t="shared" si="69"/>
        <v/>
      </c>
      <c r="G431" s="11" t="str">
        <f t="shared" si="70"/>
        <v/>
      </c>
      <c r="H431" s="19" t="str">
        <f t="shared" si="67"/>
        <v/>
      </c>
      <c r="I431" s="21">
        <f t="shared" si="71"/>
        <v>0</v>
      </c>
      <c r="J431" s="21" t="e">
        <f t="shared" si="68"/>
        <v>#N/A</v>
      </c>
      <c r="K431" s="21" t="str">
        <f t="shared" si="72"/>
        <v/>
      </c>
    </row>
    <row r="432" spans="2:11" x14ac:dyDescent="0.25">
      <c r="B432" s="9" t="e">
        <f t="shared" si="73"/>
        <v>#N/A</v>
      </c>
      <c r="C432" s="10" t="e">
        <f t="shared" si="65"/>
        <v>#N/A</v>
      </c>
      <c r="D432" s="11" t="str">
        <f>IF(ISERROR(B432),"",bsolve($B432,$E$2,$E$4,$E$8,$E$9))</f>
        <v/>
      </c>
      <c r="E432" s="11" t="str">
        <f t="shared" si="66"/>
        <v/>
      </c>
      <c r="F432" s="11" t="str">
        <f t="shared" si="69"/>
        <v/>
      </c>
      <c r="G432" s="11" t="str">
        <f t="shared" si="70"/>
        <v/>
      </c>
      <c r="H432" s="19" t="str">
        <f t="shared" si="67"/>
        <v/>
      </c>
      <c r="I432" s="21">
        <f t="shared" si="71"/>
        <v>0</v>
      </c>
      <c r="J432" s="21" t="e">
        <f t="shared" si="68"/>
        <v>#N/A</v>
      </c>
      <c r="K432" s="21" t="str">
        <f t="shared" si="72"/>
        <v/>
      </c>
    </row>
    <row r="433" spans="2:11" x14ac:dyDescent="0.25">
      <c r="B433" s="9" t="e">
        <f t="shared" si="73"/>
        <v>#N/A</v>
      </c>
      <c r="C433" s="10" t="e">
        <f t="shared" si="65"/>
        <v>#N/A</v>
      </c>
      <c r="D433" s="11" t="str">
        <f>IF(ISERROR(B433),"",bsolve($B433,$E$2,$E$4,$E$8,$E$9))</f>
        <v/>
      </c>
      <c r="E433" s="11" t="str">
        <f t="shared" si="66"/>
        <v/>
      </c>
      <c r="F433" s="11" t="str">
        <f t="shared" si="69"/>
        <v/>
      </c>
      <c r="G433" s="11" t="str">
        <f t="shared" si="70"/>
        <v/>
      </c>
      <c r="H433" s="19" t="str">
        <f t="shared" si="67"/>
        <v/>
      </c>
      <c r="I433" s="21">
        <f t="shared" si="71"/>
        <v>0</v>
      </c>
      <c r="J433" s="21" t="e">
        <f t="shared" si="68"/>
        <v>#N/A</v>
      </c>
      <c r="K433" s="21" t="str">
        <f t="shared" si="72"/>
        <v/>
      </c>
    </row>
    <row r="434" spans="2:11" x14ac:dyDescent="0.25">
      <c r="B434" s="9" t="e">
        <f t="shared" si="73"/>
        <v>#N/A</v>
      </c>
      <c r="C434" s="10" t="e">
        <f t="shared" si="65"/>
        <v>#N/A</v>
      </c>
      <c r="D434" s="11" t="str">
        <f>IF(ISERROR(B434),"",bsolve($B434,$E$2,$E$4,$E$8,$E$9))</f>
        <v/>
      </c>
      <c r="E434" s="11" t="str">
        <f t="shared" si="66"/>
        <v/>
      </c>
      <c r="F434" s="11" t="str">
        <f t="shared" si="69"/>
        <v/>
      </c>
      <c r="G434" s="11" t="str">
        <f t="shared" si="70"/>
        <v/>
      </c>
      <c r="H434" s="19" t="str">
        <f t="shared" si="67"/>
        <v/>
      </c>
      <c r="I434" s="21">
        <f t="shared" si="71"/>
        <v>0</v>
      </c>
      <c r="J434" s="21" t="e">
        <f t="shared" si="68"/>
        <v>#N/A</v>
      </c>
      <c r="K434" s="21" t="str">
        <f t="shared" si="72"/>
        <v/>
      </c>
    </row>
    <row r="435" spans="2:11" x14ac:dyDescent="0.25">
      <c r="B435" s="9" t="e">
        <f t="shared" si="73"/>
        <v>#N/A</v>
      </c>
      <c r="C435" s="10" t="e">
        <f t="shared" si="65"/>
        <v>#N/A</v>
      </c>
      <c r="D435" s="11" t="str">
        <f>IF(ISERROR(B435),"",bsolve($B435,$E$2,$E$4,$E$8,$E$9))</f>
        <v/>
      </c>
      <c r="E435" s="11" t="str">
        <f t="shared" si="66"/>
        <v/>
      </c>
      <c r="F435" s="11" t="str">
        <f t="shared" si="69"/>
        <v/>
      </c>
      <c r="G435" s="11" t="str">
        <f t="shared" si="70"/>
        <v/>
      </c>
      <c r="H435" s="19" t="str">
        <f t="shared" si="67"/>
        <v/>
      </c>
      <c r="I435" s="21">
        <f t="shared" si="71"/>
        <v>0</v>
      </c>
      <c r="J435" s="21" t="e">
        <f t="shared" si="68"/>
        <v>#N/A</v>
      </c>
      <c r="K435" s="21" t="str">
        <f t="shared" si="72"/>
        <v/>
      </c>
    </row>
    <row r="436" spans="2:11" x14ac:dyDescent="0.25">
      <c r="B436" s="9" t="e">
        <f t="shared" si="73"/>
        <v>#N/A</v>
      </c>
      <c r="C436" s="10" t="e">
        <f t="shared" si="65"/>
        <v>#N/A</v>
      </c>
      <c r="D436" s="11" t="str">
        <f>IF(ISERROR(B436),"",bsolve($B436,$E$2,$E$4,$E$8,$E$9))</f>
        <v/>
      </c>
      <c r="E436" s="11" t="str">
        <f t="shared" si="66"/>
        <v/>
      </c>
      <c r="F436" s="11" t="str">
        <f t="shared" si="69"/>
        <v/>
      </c>
      <c r="G436" s="11" t="str">
        <f t="shared" si="70"/>
        <v/>
      </c>
      <c r="H436" s="19" t="str">
        <f t="shared" si="67"/>
        <v/>
      </c>
      <c r="I436" s="21">
        <f t="shared" si="71"/>
        <v>0</v>
      </c>
      <c r="J436" s="21" t="e">
        <f t="shared" si="68"/>
        <v>#N/A</v>
      </c>
      <c r="K436" s="21" t="str">
        <f t="shared" si="72"/>
        <v/>
      </c>
    </row>
    <row r="437" spans="2:11" x14ac:dyDescent="0.25">
      <c r="B437" s="9" t="e">
        <f t="shared" si="73"/>
        <v>#N/A</v>
      </c>
      <c r="C437" s="10" t="e">
        <f t="shared" si="65"/>
        <v>#N/A</v>
      </c>
      <c r="D437" s="11" t="str">
        <f>IF(ISERROR(B437),"",bsolve($B437,$E$2,$E$4,$E$8,$E$9))</f>
        <v/>
      </c>
      <c r="E437" s="11" t="str">
        <f t="shared" si="66"/>
        <v/>
      </c>
      <c r="F437" s="11" t="str">
        <f t="shared" si="69"/>
        <v/>
      </c>
      <c r="G437" s="11" t="str">
        <f t="shared" si="70"/>
        <v/>
      </c>
      <c r="H437" s="19" t="str">
        <f t="shared" si="67"/>
        <v/>
      </c>
      <c r="I437" s="21">
        <f t="shared" si="71"/>
        <v>0</v>
      </c>
      <c r="J437" s="21" t="e">
        <f t="shared" si="68"/>
        <v>#N/A</v>
      </c>
      <c r="K437" s="21" t="str">
        <f t="shared" si="72"/>
        <v/>
      </c>
    </row>
    <row r="438" spans="2:11" x14ac:dyDescent="0.25">
      <c r="B438" s="9" t="e">
        <f t="shared" si="73"/>
        <v>#N/A</v>
      </c>
      <c r="C438" s="10" t="e">
        <f t="shared" si="65"/>
        <v>#N/A</v>
      </c>
      <c r="D438" s="11" t="str">
        <f>IF(ISERROR(B438),"",bsolve($B438,$E$2,$E$4,$E$8,$E$9))</f>
        <v/>
      </c>
      <c r="E438" s="11" t="str">
        <f t="shared" si="66"/>
        <v/>
      </c>
      <c r="F438" s="11" t="str">
        <f t="shared" si="69"/>
        <v/>
      </c>
      <c r="G438" s="11" t="str">
        <f t="shared" si="70"/>
        <v/>
      </c>
      <c r="H438" s="19" t="str">
        <f t="shared" si="67"/>
        <v/>
      </c>
      <c r="I438" s="21">
        <f t="shared" si="71"/>
        <v>0</v>
      </c>
      <c r="J438" s="21" t="e">
        <f t="shared" si="68"/>
        <v>#N/A</v>
      </c>
      <c r="K438" s="21" t="str">
        <f t="shared" si="72"/>
        <v/>
      </c>
    </row>
    <row r="439" spans="2:11" x14ac:dyDescent="0.25">
      <c r="B439" s="9" t="e">
        <f t="shared" si="73"/>
        <v>#N/A</v>
      </c>
      <c r="C439" s="10" t="e">
        <f t="shared" si="65"/>
        <v>#N/A</v>
      </c>
      <c r="D439" s="11" t="str">
        <f>IF(ISERROR(B439),"",bsolve($B439,$E$2,$E$4,$E$8,$E$9))</f>
        <v/>
      </c>
      <c r="E439" s="11" t="str">
        <f t="shared" si="66"/>
        <v/>
      </c>
      <c r="F439" s="11" t="str">
        <f t="shared" si="69"/>
        <v/>
      </c>
      <c r="G439" s="11" t="str">
        <f t="shared" si="70"/>
        <v/>
      </c>
      <c r="H439" s="19" t="str">
        <f t="shared" si="67"/>
        <v/>
      </c>
      <c r="I439" s="21">
        <f t="shared" si="71"/>
        <v>0</v>
      </c>
      <c r="J439" s="21" t="e">
        <f t="shared" si="68"/>
        <v>#N/A</v>
      </c>
      <c r="K439" s="21" t="str">
        <f t="shared" si="72"/>
        <v/>
      </c>
    </row>
    <row r="440" spans="2:11" x14ac:dyDescent="0.25">
      <c r="B440" s="9" t="e">
        <f t="shared" si="73"/>
        <v>#N/A</v>
      </c>
      <c r="C440" s="10" t="e">
        <f t="shared" si="65"/>
        <v>#N/A</v>
      </c>
      <c r="D440" s="11" t="str">
        <f>IF(ISERROR(B440),"",bsolve($B440,$E$2,$E$4,$E$8,$E$9))</f>
        <v/>
      </c>
      <c r="E440" s="11" t="str">
        <f t="shared" si="66"/>
        <v/>
      </c>
      <c r="F440" s="11" t="str">
        <f t="shared" si="69"/>
        <v/>
      </c>
      <c r="G440" s="11" t="str">
        <f t="shared" si="70"/>
        <v/>
      </c>
      <c r="H440" s="19" t="str">
        <f t="shared" si="67"/>
        <v/>
      </c>
      <c r="I440" s="21">
        <f t="shared" si="71"/>
        <v>0</v>
      </c>
      <c r="J440" s="21" t="e">
        <f t="shared" si="68"/>
        <v>#N/A</v>
      </c>
      <c r="K440" s="21" t="str">
        <f t="shared" si="72"/>
        <v/>
      </c>
    </row>
    <row r="441" spans="2:11" x14ac:dyDescent="0.25">
      <c r="B441" s="9" t="e">
        <f t="shared" si="73"/>
        <v>#N/A</v>
      </c>
      <c r="C441" s="10" t="e">
        <f t="shared" si="65"/>
        <v>#N/A</v>
      </c>
      <c r="D441" s="11" t="str">
        <f>IF(ISERROR(B441),"",bsolve($B441,$E$2,$E$4,$E$8,$E$9))</f>
        <v/>
      </c>
      <c r="E441" s="11" t="str">
        <f t="shared" si="66"/>
        <v/>
      </c>
      <c r="F441" s="11" t="str">
        <f t="shared" si="69"/>
        <v/>
      </c>
      <c r="G441" s="11" t="str">
        <f t="shared" si="70"/>
        <v/>
      </c>
      <c r="H441" s="19" t="str">
        <f t="shared" si="67"/>
        <v/>
      </c>
      <c r="I441" s="21">
        <f t="shared" si="71"/>
        <v>0</v>
      </c>
      <c r="J441" s="21" t="e">
        <f t="shared" si="68"/>
        <v>#N/A</v>
      </c>
      <c r="K441" s="21" t="str">
        <f t="shared" si="72"/>
        <v/>
      </c>
    </row>
    <row r="442" spans="2:11" x14ac:dyDescent="0.25">
      <c r="B442" s="9" t="e">
        <f t="shared" si="73"/>
        <v>#N/A</v>
      </c>
      <c r="C442" s="10" t="e">
        <f t="shared" si="65"/>
        <v>#N/A</v>
      </c>
      <c r="D442" s="11" t="str">
        <f>IF(ISERROR(B442),"",bsolve($B442,$E$2,$E$4,$E$8,$E$9))</f>
        <v/>
      </c>
      <c r="E442" s="11" t="str">
        <f t="shared" si="66"/>
        <v/>
      </c>
      <c r="F442" s="11" t="str">
        <f t="shared" si="69"/>
        <v/>
      </c>
      <c r="G442" s="11" t="str">
        <f t="shared" si="70"/>
        <v/>
      </c>
      <c r="H442" s="19" t="str">
        <f t="shared" si="67"/>
        <v/>
      </c>
      <c r="I442" s="21">
        <f t="shared" si="71"/>
        <v>0</v>
      </c>
      <c r="J442" s="21" t="e">
        <f t="shared" si="68"/>
        <v>#N/A</v>
      </c>
      <c r="K442" s="21" t="str">
        <f t="shared" si="72"/>
        <v/>
      </c>
    </row>
    <row r="443" spans="2:11" x14ac:dyDescent="0.25">
      <c r="B443" s="9" t="e">
        <f t="shared" si="73"/>
        <v>#N/A</v>
      </c>
      <c r="C443" s="10" t="e">
        <f t="shared" si="65"/>
        <v>#N/A</v>
      </c>
      <c r="D443" s="11" t="str">
        <f>IF(ISERROR(B443),"",bsolve($B443,$E$2,$E$4,$E$8,$E$9))</f>
        <v/>
      </c>
      <c r="E443" s="11" t="str">
        <f t="shared" si="66"/>
        <v/>
      </c>
      <c r="F443" s="11" t="str">
        <f t="shared" si="69"/>
        <v/>
      </c>
      <c r="G443" s="11" t="str">
        <f t="shared" si="70"/>
        <v/>
      </c>
      <c r="H443" s="19" t="str">
        <f t="shared" si="67"/>
        <v/>
      </c>
      <c r="I443" s="21">
        <f t="shared" si="71"/>
        <v>0</v>
      </c>
      <c r="J443" s="21" t="e">
        <f t="shared" si="68"/>
        <v>#N/A</v>
      </c>
      <c r="K443" s="21" t="str">
        <f t="shared" si="72"/>
        <v/>
      </c>
    </row>
    <row r="444" spans="2:11" x14ac:dyDescent="0.25">
      <c r="B444" s="9" t="e">
        <f t="shared" si="73"/>
        <v>#N/A</v>
      </c>
      <c r="C444" s="10" t="e">
        <f t="shared" si="65"/>
        <v>#N/A</v>
      </c>
      <c r="D444" s="11" t="str">
        <f>IF(ISERROR(B444),"",bsolve($B444,$E$2,$E$4,$E$8,$E$9))</f>
        <v/>
      </c>
      <c r="E444" s="11" t="str">
        <f t="shared" si="66"/>
        <v/>
      </c>
      <c r="F444" s="11" t="str">
        <f t="shared" si="69"/>
        <v/>
      </c>
      <c r="G444" s="11" t="str">
        <f t="shared" si="70"/>
        <v/>
      </c>
      <c r="H444" s="19" t="str">
        <f t="shared" si="67"/>
        <v/>
      </c>
      <c r="I444" s="21">
        <f t="shared" si="71"/>
        <v>0</v>
      </c>
      <c r="J444" s="21" t="e">
        <f t="shared" si="68"/>
        <v>#N/A</v>
      </c>
      <c r="K444" s="21" t="str">
        <f t="shared" si="72"/>
        <v/>
      </c>
    </row>
    <row r="445" spans="2:11" x14ac:dyDescent="0.25">
      <c r="B445" s="9" t="e">
        <f t="shared" si="73"/>
        <v>#N/A</v>
      </c>
      <c r="C445" s="10" t="e">
        <f t="shared" si="65"/>
        <v>#N/A</v>
      </c>
      <c r="D445" s="11" t="str">
        <f>IF(ISERROR(B445),"",bsolve($B445,$E$2,$E$4,$E$8,$E$9))</f>
        <v/>
      </c>
      <c r="E445" s="11" t="str">
        <f t="shared" si="66"/>
        <v/>
      </c>
      <c r="F445" s="11" t="str">
        <f t="shared" si="69"/>
        <v/>
      </c>
      <c r="G445" s="11" t="str">
        <f t="shared" si="70"/>
        <v/>
      </c>
      <c r="H445" s="19" t="str">
        <f t="shared" si="67"/>
        <v/>
      </c>
      <c r="I445" s="21">
        <f t="shared" si="71"/>
        <v>0</v>
      </c>
      <c r="J445" s="21" t="e">
        <f t="shared" si="68"/>
        <v>#N/A</v>
      </c>
      <c r="K445" s="21" t="str">
        <f t="shared" si="72"/>
        <v/>
      </c>
    </row>
    <row r="446" spans="2:11" x14ac:dyDescent="0.25">
      <c r="B446" s="9" t="e">
        <f t="shared" si="73"/>
        <v>#N/A</v>
      </c>
      <c r="C446" s="10" t="e">
        <f t="shared" si="65"/>
        <v>#N/A</v>
      </c>
      <c r="D446" s="11" t="str">
        <f>IF(ISERROR(B446),"",bsolve($B446,$E$2,$E$4,$E$8,$E$9))</f>
        <v/>
      </c>
      <c r="E446" s="11" t="str">
        <f t="shared" si="66"/>
        <v/>
      </c>
      <c r="F446" s="11" t="str">
        <f t="shared" si="69"/>
        <v/>
      </c>
      <c r="G446" s="11" t="str">
        <f t="shared" si="70"/>
        <v/>
      </c>
      <c r="H446" s="19" t="str">
        <f t="shared" si="67"/>
        <v/>
      </c>
      <c r="I446" s="21">
        <f t="shared" si="71"/>
        <v>0</v>
      </c>
      <c r="J446" s="21" t="e">
        <f t="shared" si="68"/>
        <v>#N/A</v>
      </c>
      <c r="K446" s="21" t="str">
        <f t="shared" si="72"/>
        <v/>
      </c>
    </row>
    <row r="447" spans="2:11" x14ac:dyDescent="0.25">
      <c r="B447" s="9" t="e">
        <f t="shared" si="73"/>
        <v>#N/A</v>
      </c>
      <c r="C447" s="10" t="e">
        <f t="shared" si="65"/>
        <v>#N/A</v>
      </c>
      <c r="D447" s="11" t="str">
        <f>IF(ISERROR(B447),"",bsolve($B447,$E$2,$E$4,$E$8,$E$9))</f>
        <v/>
      </c>
      <c r="E447" s="11" t="str">
        <f t="shared" si="66"/>
        <v/>
      </c>
      <c r="F447" s="11" t="str">
        <f t="shared" si="69"/>
        <v/>
      </c>
      <c r="G447" s="11" t="str">
        <f t="shared" si="70"/>
        <v/>
      </c>
      <c r="H447" s="19" t="str">
        <f t="shared" si="67"/>
        <v/>
      </c>
      <c r="I447" s="21">
        <f t="shared" si="71"/>
        <v>0</v>
      </c>
      <c r="J447" s="21" t="e">
        <f t="shared" si="68"/>
        <v>#N/A</v>
      </c>
      <c r="K447" s="21" t="str">
        <f t="shared" si="72"/>
        <v/>
      </c>
    </row>
    <row r="448" spans="2:11" x14ac:dyDescent="0.25">
      <c r="B448" s="9" t="e">
        <f t="shared" si="73"/>
        <v>#N/A</v>
      </c>
      <c r="C448" s="10" t="e">
        <f t="shared" si="65"/>
        <v>#N/A</v>
      </c>
      <c r="D448" s="11" t="str">
        <f>IF(ISERROR(B448),"",bsolve($B448,$E$2,$E$4,$E$8,$E$9))</f>
        <v/>
      </c>
      <c r="E448" s="11" t="str">
        <f t="shared" si="66"/>
        <v/>
      </c>
      <c r="F448" s="11" t="str">
        <f t="shared" si="69"/>
        <v/>
      </c>
      <c r="G448" s="11" t="str">
        <f t="shared" si="70"/>
        <v/>
      </c>
      <c r="H448" s="19" t="str">
        <f t="shared" si="67"/>
        <v/>
      </c>
      <c r="I448" s="21">
        <f t="shared" si="71"/>
        <v>0</v>
      </c>
      <c r="J448" s="21" t="e">
        <f t="shared" si="68"/>
        <v>#N/A</v>
      </c>
      <c r="K448" s="21" t="str">
        <f t="shared" si="72"/>
        <v/>
      </c>
    </row>
    <row r="449" spans="2:11" x14ac:dyDescent="0.25">
      <c r="B449" s="9" t="e">
        <f t="shared" si="73"/>
        <v>#N/A</v>
      </c>
      <c r="C449" s="10" t="e">
        <f t="shared" si="65"/>
        <v>#N/A</v>
      </c>
      <c r="D449" s="11" t="str">
        <f>IF(ISERROR(B449),"",bsolve($B449,$E$2,$E$4,$E$8,$E$9))</f>
        <v/>
      </c>
      <c r="E449" s="11" t="str">
        <f t="shared" si="66"/>
        <v/>
      </c>
      <c r="F449" s="11" t="str">
        <f t="shared" si="69"/>
        <v/>
      </c>
      <c r="G449" s="11" t="str">
        <f t="shared" si="70"/>
        <v/>
      </c>
      <c r="H449" s="19" t="str">
        <f t="shared" si="67"/>
        <v/>
      </c>
      <c r="I449" s="21">
        <f t="shared" si="71"/>
        <v>0</v>
      </c>
      <c r="J449" s="21" t="e">
        <f t="shared" si="68"/>
        <v>#N/A</v>
      </c>
      <c r="K449" s="21" t="str">
        <f t="shared" si="72"/>
        <v/>
      </c>
    </row>
    <row r="450" spans="2:11" x14ac:dyDescent="0.25">
      <c r="B450" s="9" t="e">
        <f t="shared" si="73"/>
        <v>#N/A</v>
      </c>
      <c r="C450" s="10" t="e">
        <f t="shared" si="65"/>
        <v>#N/A</v>
      </c>
      <c r="D450" s="11" t="str">
        <f>IF(ISERROR(B450),"",bsolve($B450,$E$2,$E$4,$E$8,$E$9))</f>
        <v/>
      </c>
      <c r="E450" s="11" t="str">
        <f t="shared" si="66"/>
        <v/>
      </c>
      <c r="F450" s="11" t="str">
        <f t="shared" si="69"/>
        <v/>
      </c>
      <c r="G450" s="11" t="str">
        <f t="shared" si="70"/>
        <v/>
      </c>
      <c r="H450" s="19" t="str">
        <f t="shared" si="67"/>
        <v/>
      </c>
      <c r="I450" s="21">
        <f t="shared" si="71"/>
        <v>0</v>
      </c>
      <c r="J450" s="21" t="e">
        <f t="shared" si="68"/>
        <v>#N/A</v>
      </c>
      <c r="K450" s="21" t="str">
        <f t="shared" si="72"/>
        <v/>
      </c>
    </row>
    <row r="451" spans="2:11" x14ac:dyDescent="0.25">
      <c r="B451" s="9" t="e">
        <f t="shared" si="73"/>
        <v>#N/A</v>
      </c>
      <c r="C451" s="10" t="e">
        <f t="shared" si="65"/>
        <v>#N/A</v>
      </c>
      <c r="D451" s="11" t="str">
        <f>IF(ISERROR(B451),"",bsolve($B451,$E$2,$E$4,$E$8,$E$9))</f>
        <v/>
      </c>
      <c r="E451" s="11" t="str">
        <f t="shared" si="66"/>
        <v/>
      </c>
      <c r="F451" s="11" t="str">
        <f t="shared" si="69"/>
        <v/>
      </c>
      <c r="G451" s="11" t="str">
        <f t="shared" si="70"/>
        <v/>
      </c>
      <c r="H451" s="19" t="str">
        <f t="shared" si="67"/>
        <v/>
      </c>
      <c r="I451" s="21">
        <f t="shared" si="71"/>
        <v>0</v>
      </c>
      <c r="J451" s="21" t="e">
        <f t="shared" si="68"/>
        <v>#N/A</v>
      </c>
      <c r="K451" s="21" t="str">
        <f t="shared" si="72"/>
        <v/>
      </c>
    </row>
    <row r="452" spans="2:11" x14ac:dyDescent="0.25">
      <c r="B452" s="9" t="e">
        <f t="shared" si="73"/>
        <v>#N/A</v>
      </c>
      <c r="C452" s="10" t="e">
        <f t="shared" si="65"/>
        <v>#N/A</v>
      </c>
      <c r="D452" s="11" t="str">
        <f>IF(ISERROR(B452),"",bsolve($B452,$E$2,$E$4,$E$8,$E$9))</f>
        <v/>
      </c>
      <c r="E452" s="11" t="str">
        <f t="shared" si="66"/>
        <v/>
      </c>
      <c r="F452" s="11" t="str">
        <f t="shared" si="69"/>
        <v/>
      </c>
      <c r="G452" s="11" t="str">
        <f t="shared" si="70"/>
        <v/>
      </c>
      <c r="H452" s="19" t="str">
        <f t="shared" si="67"/>
        <v/>
      </c>
      <c r="I452" s="21">
        <f t="shared" si="71"/>
        <v>0</v>
      </c>
      <c r="J452" s="21" t="e">
        <f t="shared" si="68"/>
        <v>#N/A</v>
      </c>
      <c r="K452" s="21" t="str">
        <f t="shared" si="72"/>
        <v/>
      </c>
    </row>
    <row r="453" spans="2:11" x14ac:dyDescent="0.25">
      <c r="B453" s="9" t="e">
        <f t="shared" si="73"/>
        <v>#N/A</v>
      </c>
      <c r="C453" s="10" t="e">
        <f t="shared" si="65"/>
        <v>#N/A</v>
      </c>
      <c r="D453" s="11" t="str">
        <f>IF(ISERROR(B453),"",bsolve($B453,$E$2,$E$4,$E$8,$E$9))</f>
        <v/>
      </c>
      <c r="E453" s="11" t="str">
        <f t="shared" si="66"/>
        <v/>
      </c>
      <c r="F453" s="11" t="str">
        <f t="shared" si="69"/>
        <v/>
      </c>
      <c r="G453" s="11" t="str">
        <f t="shared" si="70"/>
        <v/>
      </c>
      <c r="H453" s="19" t="str">
        <f t="shared" si="67"/>
        <v/>
      </c>
      <c r="I453" s="21">
        <f t="shared" si="71"/>
        <v>0</v>
      </c>
      <c r="J453" s="21" t="e">
        <f t="shared" si="68"/>
        <v>#N/A</v>
      </c>
      <c r="K453" s="21" t="str">
        <f t="shared" si="72"/>
        <v/>
      </c>
    </row>
    <row r="454" spans="2:11" x14ac:dyDescent="0.25">
      <c r="B454" s="9" t="e">
        <f t="shared" si="73"/>
        <v>#N/A</v>
      </c>
      <c r="C454" s="10" t="e">
        <f t="shared" si="65"/>
        <v>#N/A</v>
      </c>
      <c r="D454" s="11" t="str">
        <f>IF(ISERROR(B454),"",bsolve($B454,$E$2,$E$4,$E$8,$E$9))</f>
        <v/>
      </c>
      <c r="E454" s="11" t="str">
        <f t="shared" si="66"/>
        <v/>
      </c>
      <c r="F454" s="11" t="str">
        <f t="shared" si="69"/>
        <v/>
      </c>
      <c r="G454" s="11" t="str">
        <f t="shared" si="70"/>
        <v/>
      </c>
      <c r="H454" s="19" t="str">
        <f t="shared" si="67"/>
        <v/>
      </c>
      <c r="I454" s="21">
        <f t="shared" si="71"/>
        <v>0</v>
      </c>
      <c r="J454" s="21" t="e">
        <f t="shared" si="68"/>
        <v>#N/A</v>
      </c>
      <c r="K454" s="21" t="str">
        <f t="shared" si="72"/>
        <v/>
      </c>
    </row>
    <row r="455" spans="2:11" x14ac:dyDescent="0.25">
      <c r="B455" s="9" t="e">
        <f t="shared" si="73"/>
        <v>#N/A</v>
      </c>
      <c r="C455" s="10" t="e">
        <f t="shared" si="65"/>
        <v>#N/A</v>
      </c>
      <c r="D455" s="11" t="str">
        <f>IF(ISERROR(B455),"",bsolve($B455,$E$2,$E$4,$E$8,$E$9))</f>
        <v/>
      </c>
      <c r="E455" s="11" t="str">
        <f t="shared" si="66"/>
        <v/>
      </c>
      <c r="F455" s="11" t="str">
        <f t="shared" si="69"/>
        <v/>
      </c>
      <c r="G455" s="11" t="str">
        <f t="shared" si="70"/>
        <v/>
      </c>
      <c r="H455" s="19" t="str">
        <f t="shared" si="67"/>
        <v/>
      </c>
      <c r="I455" s="21">
        <f t="shared" si="71"/>
        <v>0</v>
      </c>
      <c r="J455" s="21" t="e">
        <f t="shared" si="68"/>
        <v>#N/A</v>
      </c>
      <c r="K455" s="21" t="str">
        <f t="shared" si="72"/>
        <v/>
      </c>
    </row>
    <row r="456" spans="2:11" x14ac:dyDescent="0.25">
      <c r="B456" s="9" t="e">
        <f t="shared" si="73"/>
        <v>#N/A</v>
      </c>
      <c r="C456" s="10" t="e">
        <f t="shared" si="65"/>
        <v>#N/A</v>
      </c>
      <c r="D456" s="11" t="str">
        <f>IF(ISERROR(B456),"",bsolve($B456,$E$2,$E$4,$E$8,$E$9))</f>
        <v/>
      </c>
      <c r="E456" s="11" t="str">
        <f t="shared" si="66"/>
        <v/>
      </c>
      <c r="F456" s="11" t="str">
        <f t="shared" si="69"/>
        <v/>
      </c>
      <c r="G456" s="11" t="str">
        <f t="shared" si="70"/>
        <v/>
      </c>
      <c r="H456" s="19" t="str">
        <f t="shared" si="67"/>
        <v/>
      </c>
      <c r="I456" s="21">
        <f t="shared" si="71"/>
        <v>0</v>
      </c>
      <c r="J456" s="21" t="e">
        <f t="shared" si="68"/>
        <v>#N/A</v>
      </c>
      <c r="K456" s="21" t="str">
        <f t="shared" si="72"/>
        <v/>
      </c>
    </row>
    <row r="457" spans="2:11" x14ac:dyDescent="0.25">
      <c r="B457" s="9" t="e">
        <f t="shared" si="73"/>
        <v>#N/A</v>
      </c>
      <c r="C457" s="10" t="e">
        <f t="shared" si="65"/>
        <v>#N/A</v>
      </c>
      <c r="D457" s="11" t="str">
        <f>IF(ISERROR(B457),"",bsolve($B457,$E$2,$E$4,$E$8,$E$9))</f>
        <v/>
      </c>
      <c r="E457" s="11" t="str">
        <f t="shared" si="66"/>
        <v/>
      </c>
      <c r="F457" s="11" t="str">
        <f t="shared" si="69"/>
        <v/>
      </c>
      <c r="G457" s="11" t="str">
        <f t="shared" si="70"/>
        <v/>
      </c>
      <c r="H457" s="19" t="str">
        <f t="shared" si="67"/>
        <v/>
      </c>
      <c r="I457" s="21">
        <f t="shared" si="71"/>
        <v>0</v>
      </c>
      <c r="J457" s="21" t="e">
        <f t="shared" si="68"/>
        <v>#N/A</v>
      </c>
      <c r="K457" s="21" t="str">
        <f t="shared" si="72"/>
        <v/>
      </c>
    </row>
    <row r="458" spans="2:11" x14ac:dyDescent="0.25">
      <c r="B458" s="9" t="e">
        <f t="shared" si="73"/>
        <v>#N/A</v>
      </c>
      <c r="C458" s="10" t="e">
        <f t="shared" si="65"/>
        <v>#N/A</v>
      </c>
      <c r="D458" s="11" t="str">
        <f>IF(ISERROR(B458),"",bsolve($B458,$E$2,$E$4,$E$8,$E$9))</f>
        <v/>
      </c>
      <c r="E458" s="11" t="str">
        <f t="shared" si="66"/>
        <v/>
      </c>
      <c r="F458" s="11" t="str">
        <f t="shared" si="69"/>
        <v/>
      </c>
      <c r="G458" s="11" t="str">
        <f t="shared" si="70"/>
        <v/>
      </c>
      <c r="H458" s="19" t="str">
        <f t="shared" si="67"/>
        <v/>
      </c>
      <c r="I458" s="21">
        <f t="shared" si="71"/>
        <v>0</v>
      </c>
      <c r="J458" s="21" t="e">
        <f t="shared" si="68"/>
        <v>#N/A</v>
      </c>
      <c r="K458" s="21" t="str">
        <f t="shared" si="72"/>
        <v/>
      </c>
    </row>
    <row r="459" spans="2:11" x14ac:dyDescent="0.25">
      <c r="B459" s="9" t="e">
        <f t="shared" si="73"/>
        <v>#N/A</v>
      </c>
      <c r="C459" s="10" t="e">
        <f t="shared" si="65"/>
        <v>#N/A</v>
      </c>
      <c r="D459" s="11" t="str">
        <f>IF(ISERROR(B459),"",bsolve($B459,$E$2,$E$4,$E$8,$E$9))</f>
        <v/>
      </c>
      <c r="E459" s="11" t="str">
        <f t="shared" si="66"/>
        <v/>
      </c>
      <c r="F459" s="11" t="str">
        <f t="shared" si="69"/>
        <v/>
      </c>
      <c r="G459" s="11" t="str">
        <f t="shared" si="70"/>
        <v/>
      </c>
      <c r="H459" s="19" t="str">
        <f t="shared" si="67"/>
        <v/>
      </c>
      <c r="I459" s="21">
        <f t="shared" si="71"/>
        <v>0</v>
      </c>
      <c r="J459" s="21" t="e">
        <f t="shared" si="68"/>
        <v>#N/A</v>
      </c>
      <c r="K459" s="21" t="str">
        <f t="shared" si="72"/>
        <v/>
      </c>
    </row>
    <row r="460" spans="2:11" x14ac:dyDescent="0.25">
      <c r="B460" s="9" t="e">
        <f t="shared" si="73"/>
        <v>#N/A</v>
      </c>
      <c r="C460" s="10" t="e">
        <f t="shared" si="65"/>
        <v>#N/A</v>
      </c>
      <c r="D460" s="11" t="str">
        <f>IF(ISERROR(B460),"",bsolve($B460,$E$2,$E$4,$E$8,$E$9))</f>
        <v/>
      </c>
      <c r="E460" s="11" t="str">
        <f t="shared" si="66"/>
        <v/>
      </c>
      <c r="F460" s="11" t="str">
        <f t="shared" si="69"/>
        <v/>
      </c>
      <c r="G460" s="11" t="str">
        <f t="shared" si="70"/>
        <v/>
      </c>
      <c r="H460" s="19" t="str">
        <f t="shared" si="67"/>
        <v/>
      </c>
      <c r="I460" s="21">
        <f t="shared" si="71"/>
        <v>0</v>
      </c>
      <c r="J460" s="21" t="e">
        <f t="shared" si="68"/>
        <v>#N/A</v>
      </c>
      <c r="K460" s="21" t="str">
        <f t="shared" si="72"/>
        <v/>
      </c>
    </row>
    <row r="461" spans="2:11" x14ac:dyDescent="0.25">
      <c r="B461" s="9" t="e">
        <f t="shared" si="73"/>
        <v>#N/A</v>
      </c>
      <c r="C461" s="10" t="e">
        <f t="shared" si="65"/>
        <v>#N/A</v>
      </c>
      <c r="D461" s="11" t="str">
        <f>IF(ISERROR(B461),"",bsolve($B461,$E$2,$E$4,$E$8,$E$9))</f>
        <v/>
      </c>
      <c r="E461" s="11" t="str">
        <f t="shared" si="66"/>
        <v/>
      </c>
      <c r="F461" s="11" t="str">
        <f t="shared" si="69"/>
        <v/>
      </c>
      <c r="G461" s="11" t="str">
        <f t="shared" si="70"/>
        <v/>
      </c>
      <c r="H461" s="19" t="str">
        <f t="shared" si="67"/>
        <v/>
      </c>
      <c r="I461" s="21">
        <f t="shared" si="71"/>
        <v>0</v>
      </c>
      <c r="J461" s="21" t="e">
        <f t="shared" si="68"/>
        <v>#N/A</v>
      </c>
      <c r="K461" s="21" t="str">
        <f t="shared" si="72"/>
        <v/>
      </c>
    </row>
    <row r="462" spans="2:11" x14ac:dyDescent="0.25">
      <c r="B462" s="9" t="e">
        <f t="shared" si="73"/>
        <v>#N/A</v>
      </c>
      <c r="C462" s="10" t="e">
        <f t="shared" si="65"/>
        <v>#N/A</v>
      </c>
      <c r="D462" s="11" t="str">
        <f>IF(ISERROR(B462),"",bsolve($B462,$E$2,$E$4,$E$8,$E$9))</f>
        <v/>
      </c>
      <c r="E462" s="11" t="str">
        <f t="shared" si="66"/>
        <v/>
      </c>
      <c r="F462" s="11" t="str">
        <f t="shared" si="69"/>
        <v/>
      </c>
      <c r="G462" s="11" t="str">
        <f t="shared" si="70"/>
        <v/>
      </c>
      <c r="H462" s="19" t="str">
        <f t="shared" si="67"/>
        <v/>
      </c>
      <c r="I462" s="21">
        <f t="shared" si="71"/>
        <v>0</v>
      </c>
      <c r="J462" s="21" t="e">
        <f t="shared" si="68"/>
        <v>#N/A</v>
      </c>
      <c r="K462" s="21" t="str">
        <f t="shared" si="72"/>
        <v/>
      </c>
    </row>
    <row r="463" spans="2:11" x14ac:dyDescent="0.25">
      <c r="B463" s="9" t="e">
        <f t="shared" si="73"/>
        <v>#N/A</v>
      </c>
      <c r="C463" s="10" t="e">
        <f t="shared" si="65"/>
        <v>#N/A</v>
      </c>
      <c r="D463" s="11" t="str">
        <f>IF(ISERROR(B463),"",bsolve($B463,$E$2,$E$4,$E$8,$E$9))</f>
        <v/>
      </c>
      <c r="E463" s="11" t="str">
        <f t="shared" si="66"/>
        <v/>
      </c>
      <c r="F463" s="11" t="str">
        <f t="shared" si="69"/>
        <v/>
      </c>
      <c r="G463" s="11" t="str">
        <f t="shared" si="70"/>
        <v/>
      </c>
      <c r="H463" s="19" t="str">
        <f t="shared" si="67"/>
        <v/>
      </c>
      <c r="I463" s="21">
        <f t="shared" si="71"/>
        <v>0</v>
      </c>
      <c r="J463" s="21" t="e">
        <f t="shared" si="68"/>
        <v>#N/A</v>
      </c>
      <c r="K463" s="21" t="str">
        <f t="shared" si="72"/>
        <v/>
      </c>
    </row>
    <row r="464" spans="2:11" x14ac:dyDescent="0.25">
      <c r="B464" s="9" t="e">
        <f t="shared" si="73"/>
        <v>#N/A</v>
      </c>
      <c r="C464" s="10" t="e">
        <f t="shared" si="65"/>
        <v>#N/A</v>
      </c>
      <c r="D464" s="11" t="str">
        <f>IF(ISERROR(B464),"",bsolve($B464,$E$2,$E$4,$E$8,$E$9))</f>
        <v/>
      </c>
      <c r="E464" s="11" t="str">
        <f t="shared" si="66"/>
        <v/>
      </c>
      <c r="F464" s="11" t="str">
        <f t="shared" si="69"/>
        <v/>
      </c>
      <c r="G464" s="11" t="str">
        <f t="shared" si="70"/>
        <v/>
      </c>
      <c r="H464" s="19" t="str">
        <f t="shared" si="67"/>
        <v/>
      </c>
      <c r="I464" s="21">
        <f t="shared" si="71"/>
        <v>0</v>
      </c>
      <c r="J464" s="21" t="e">
        <f t="shared" si="68"/>
        <v>#N/A</v>
      </c>
      <c r="K464" s="21" t="str">
        <f t="shared" si="72"/>
        <v/>
      </c>
    </row>
    <row r="465" spans="2:11" x14ac:dyDescent="0.25">
      <c r="B465" s="9" t="e">
        <f t="shared" si="73"/>
        <v>#N/A</v>
      </c>
      <c r="C465" s="10" t="e">
        <f t="shared" si="65"/>
        <v>#N/A</v>
      </c>
      <c r="D465" s="11" t="str">
        <f>IF(ISERROR(B465),"",bsolve($B465,$E$2,$E$4,$E$8,$E$9))</f>
        <v/>
      </c>
      <c r="E465" s="11" t="str">
        <f t="shared" si="66"/>
        <v/>
      </c>
      <c r="F465" s="11" t="str">
        <f t="shared" si="69"/>
        <v/>
      </c>
      <c r="G465" s="11" t="str">
        <f t="shared" si="70"/>
        <v/>
      </c>
      <c r="H465" s="19" t="str">
        <f t="shared" si="67"/>
        <v/>
      </c>
      <c r="I465" s="21">
        <f t="shared" si="71"/>
        <v>0</v>
      </c>
      <c r="J465" s="21" t="e">
        <f t="shared" si="68"/>
        <v>#N/A</v>
      </c>
      <c r="K465" s="21" t="str">
        <f t="shared" si="72"/>
        <v/>
      </c>
    </row>
    <row r="466" spans="2:11" x14ac:dyDescent="0.25">
      <c r="B466" s="9" t="e">
        <f t="shared" si="73"/>
        <v>#N/A</v>
      </c>
      <c r="C466" s="10" t="e">
        <f t="shared" ref="C466:C529" si="74">IF(B466="","",100*B466/$E$2)</f>
        <v>#N/A</v>
      </c>
      <c r="D466" s="11" t="str">
        <f>IF(ISERROR(B466),"",bsolve($B466,$E$2,$E$4,$E$8,$E$9))</f>
        <v/>
      </c>
      <c r="E466" s="11" t="str">
        <f t="shared" ref="E466:E529" si="75">IF(ISERROR(B466),"",IF(AND($E$7&lt;$E$5,C466&gt;=($E$5*100)),D466,0))</f>
        <v/>
      </c>
      <c r="F466" s="11" t="str">
        <f t="shared" si="69"/>
        <v/>
      </c>
      <c r="G466" s="11" t="str">
        <f t="shared" si="70"/>
        <v/>
      </c>
      <c r="H466" s="19" t="str">
        <f t="shared" ref="H466:H529" si="76">IF(ISERROR(B466),"",100*((B466*(1-$E$9))+($E$2-B466)*$E$8)/$E$2)</f>
        <v/>
      </c>
      <c r="I466" s="21">
        <f t="shared" si="71"/>
        <v>0</v>
      </c>
      <c r="J466" s="21" t="e">
        <f t="shared" ref="J466:J529" si="77">IF(ISERROR(B466),NA(),IF(AND(H466&gt;=$E$5*100,B466/$E$2&lt;$E$5),H466,NA()))</f>
        <v>#N/A</v>
      </c>
      <c r="K466" s="21" t="str">
        <f t="shared" si="72"/>
        <v/>
      </c>
    </row>
    <row r="467" spans="2:11" x14ac:dyDescent="0.25">
      <c r="B467" s="9" t="e">
        <f t="shared" si="73"/>
        <v>#N/A</v>
      </c>
      <c r="C467" s="10" t="e">
        <f t="shared" si="74"/>
        <v>#N/A</v>
      </c>
      <c r="D467" s="11" t="str">
        <f>IF(ISERROR(B467),"",bsolve($B467,$E$2,$E$4,$E$8,$E$9))</f>
        <v/>
      </c>
      <c r="E467" s="11" t="str">
        <f t="shared" si="75"/>
        <v/>
      </c>
      <c r="F467" s="11" t="str">
        <f t="shared" ref="F467:F530" si="78">IF(ISERROR(B467),"",IF(AND($E$7&gt;=$E$5,C467&lt;($E$5*100)),D467,0))</f>
        <v/>
      </c>
      <c r="G467" s="11" t="str">
        <f t="shared" ref="G467:G530" si="79">IF(ISERROR(B467),"",IF(C467&gt;=$E$5*100,D467,""))</f>
        <v/>
      </c>
      <c r="H467" s="19" t="str">
        <f t="shared" si="76"/>
        <v/>
      </c>
      <c r="I467" s="21">
        <f t="shared" ref="I467:I530" si="80">IF(NOT(ISERROR(J467)),B467,0)</f>
        <v>0</v>
      </c>
      <c r="J467" s="21" t="e">
        <f t="shared" si="77"/>
        <v>#N/A</v>
      </c>
      <c r="K467" s="21" t="str">
        <f t="shared" ref="K467:K530" si="81">IF(AND(I467=0,I468&gt;0),B467,"")</f>
        <v/>
      </c>
    </row>
    <row r="468" spans="2:11" x14ac:dyDescent="0.25">
      <c r="B468" s="9" t="e">
        <f t="shared" ref="B468:B531" si="82">IF(ROW()-18&lt;=$E$2,B467+1,NA())</f>
        <v>#N/A</v>
      </c>
      <c r="C468" s="10" t="e">
        <f t="shared" si="74"/>
        <v>#N/A</v>
      </c>
      <c r="D468" s="11" t="str">
        <f>IF(ISERROR(B468),"",bsolve($B468,$E$2,$E$4,$E$8,$E$9))</f>
        <v/>
      </c>
      <c r="E468" s="11" t="str">
        <f t="shared" si="75"/>
        <v/>
      </c>
      <c r="F468" s="11" t="str">
        <f t="shared" si="78"/>
        <v/>
      </c>
      <c r="G468" s="11" t="str">
        <f t="shared" si="79"/>
        <v/>
      </c>
      <c r="H468" s="19" t="str">
        <f t="shared" si="76"/>
        <v/>
      </c>
      <c r="I468" s="21">
        <f t="shared" si="80"/>
        <v>0</v>
      </c>
      <c r="J468" s="21" t="e">
        <f t="shared" si="77"/>
        <v>#N/A</v>
      </c>
      <c r="K468" s="21" t="str">
        <f t="shared" si="81"/>
        <v/>
      </c>
    </row>
    <row r="469" spans="2:11" x14ac:dyDescent="0.25">
      <c r="B469" s="9" t="e">
        <f t="shared" si="82"/>
        <v>#N/A</v>
      </c>
      <c r="C469" s="10" t="e">
        <f t="shared" si="74"/>
        <v>#N/A</v>
      </c>
      <c r="D469" s="11" t="str">
        <f>IF(ISERROR(B469),"",bsolve($B469,$E$2,$E$4,$E$8,$E$9))</f>
        <v/>
      </c>
      <c r="E469" s="11" t="str">
        <f t="shared" si="75"/>
        <v/>
      </c>
      <c r="F469" s="11" t="str">
        <f t="shared" si="78"/>
        <v/>
      </c>
      <c r="G469" s="11" t="str">
        <f t="shared" si="79"/>
        <v/>
      </c>
      <c r="H469" s="19" t="str">
        <f t="shared" si="76"/>
        <v/>
      </c>
      <c r="I469" s="21">
        <f t="shared" si="80"/>
        <v>0</v>
      </c>
      <c r="J469" s="21" t="e">
        <f t="shared" si="77"/>
        <v>#N/A</v>
      </c>
      <c r="K469" s="21" t="str">
        <f t="shared" si="81"/>
        <v/>
      </c>
    </row>
    <row r="470" spans="2:11" x14ac:dyDescent="0.25">
      <c r="B470" s="9" t="e">
        <f t="shared" si="82"/>
        <v>#N/A</v>
      </c>
      <c r="C470" s="10" t="e">
        <f t="shared" si="74"/>
        <v>#N/A</v>
      </c>
      <c r="D470" s="11" t="str">
        <f>IF(ISERROR(B470),"",bsolve($B470,$E$2,$E$4,$E$8,$E$9))</f>
        <v/>
      </c>
      <c r="E470" s="11" t="str">
        <f t="shared" si="75"/>
        <v/>
      </c>
      <c r="F470" s="11" t="str">
        <f t="shared" si="78"/>
        <v/>
      </c>
      <c r="G470" s="11" t="str">
        <f t="shared" si="79"/>
        <v/>
      </c>
      <c r="H470" s="19" t="str">
        <f t="shared" si="76"/>
        <v/>
      </c>
      <c r="I470" s="21">
        <f t="shared" si="80"/>
        <v>0</v>
      </c>
      <c r="J470" s="21" t="e">
        <f t="shared" si="77"/>
        <v>#N/A</v>
      </c>
      <c r="K470" s="21" t="str">
        <f t="shared" si="81"/>
        <v/>
      </c>
    </row>
    <row r="471" spans="2:11" x14ac:dyDescent="0.25">
      <c r="B471" s="9" t="e">
        <f t="shared" si="82"/>
        <v>#N/A</v>
      </c>
      <c r="C471" s="10" t="e">
        <f t="shared" si="74"/>
        <v>#N/A</v>
      </c>
      <c r="D471" s="11" t="str">
        <f>IF(ISERROR(B471),"",bsolve($B471,$E$2,$E$4,$E$8,$E$9))</f>
        <v/>
      </c>
      <c r="E471" s="11" t="str">
        <f t="shared" si="75"/>
        <v/>
      </c>
      <c r="F471" s="11" t="str">
        <f t="shared" si="78"/>
        <v/>
      </c>
      <c r="G471" s="11" t="str">
        <f t="shared" si="79"/>
        <v/>
      </c>
      <c r="H471" s="19" t="str">
        <f t="shared" si="76"/>
        <v/>
      </c>
      <c r="I471" s="21">
        <f t="shared" si="80"/>
        <v>0</v>
      </c>
      <c r="J471" s="21" t="e">
        <f t="shared" si="77"/>
        <v>#N/A</v>
      </c>
      <c r="K471" s="21" t="str">
        <f t="shared" si="81"/>
        <v/>
      </c>
    </row>
    <row r="472" spans="2:11" x14ac:dyDescent="0.25">
      <c r="B472" s="9" t="e">
        <f t="shared" si="82"/>
        <v>#N/A</v>
      </c>
      <c r="C472" s="10" t="e">
        <f t="shared" si="74"/>
        <v>#N/A</v>
      </c>
      <c r="D472" s="11" t="str">
        <f>IF(ISERROR(B472),"",bsolve($B472,$E$2,$E$4,$E$8,$E$9))</f>
        <v/>
      </c>
      <c r="E472" s="11" t="str">
        <f t="shared" si="75"/>
        <v/>
      </c>
      <c r="F472" s="11" t="str">
        <f t="shared" si="78"/>
        <v/>
      </c>
      <c r="G472" s="11" t="str">
        <f t="shared" si="79"/>
        <v/>
      </c>
      <c r="H472" s="19" t="str">
        <f t="shared" si="76"/>
        <v/>
      </c>
      <c r="I472" s="21">
        <f t="shared" si="80"/>
        <v>0</v>
      </c>
      <c r="J472" s="21" t="e">
        <f t="shared" si="77"/>
        <v>#N/A</v>
      </c>
      <c r="K472" s="21" t="str">
        <f t="shared" si="81"/>
        <v/>
      </c>
    </row>
    <row r="473" spans="2:11" x14ac:dyDescent="0.25">
      <c r="B473" s="9" t="e">
        <f t="shared" si="82"/>
        <v>#N/A</v>
      </c>
      <c r="C473" s="10" t="e">
        <f t="shared" si="74"/>
        <v>#N/A</v>
      </c>
      <c r="D473" s="11" t="str">
        <f>IF(ISERROR(B473),"",bsolve($B473,$E$2,$E$4,$E$8,$E$9))</f>
        <v/>
      </c>
      <c r="E473" s="11" t="str">
        <f t="shared" si="75"/>
        <v/>
      </c>
      <c r="F473" s="11" t="str">
        <f t="shared" si="78"/>
        <v/>
      </c>
      <c r="G473" s="11" t="str">
        <f t="shared" si="79"/>
        <v/>
      </c>
      <c r="H473" s="19" t="str">
        <f t="shared" si="76"/>
        <v/>
      </c>
      <c r="I473" s="21">
        <f t="shared" si="80"/>
        <v>0</v>
      </c>
      <c r="J473" s="21" t="e">
        <f t="shared" si="77"/>
        <v>#N/A</v>
      </c>
      <c r="K473" s="21" t="str">
        <f t="shared" si="81"/>
        <v/>
      </c>
    </row>
    <row r="474" spans="2:11" x14ac:dyDescent="0.25">
      <c r="B474" s="9" t="e">
        <f t="shared" si="82"/>
        <v>#N/A</v>
      </c>
      <c r="C474" s="10" t="e">
        <f t="shared" si="74"/>
        <v>#N/A</v>
      </c>
      <c r="D474" s="11" t="str">
        <f>IF(ISERROR(B474),"",bsolve($B474,$E$2,$E$4,$E$8,$E$9))</f>
        <v/>
      </c>
      <c r="E474" s="11" t="str">
        <f t="shared" si="75"/>
        <v/>
      </c>
      <c r="F474" s="11" t="str">
        <f t="shared" si="78"/>
        <v/>
      </c>
      <c r="G474" s="11" t="str">
        <f t="shared" si="79"/>
        <v/>
      </c>
      <c r="H474" s="19" t="str">
        <f t="shared" si="76"/>
        <v/>
      </c>
      <c r="I474" s="21">
        <f t="shared" si="80"/>
        <v>0</v>
      </c>
      <c r="J474" s="21" t="e">
        <f t="shared" si="77"/>
        <v>#N/A</v>
      </c>
      <c r="K474" s="21" t="str">
        <f t="shared" si="81"/>
        <v/>
      </c>
    </row>
    <row r="475" spans="2:11" x14ac:dyDescent="0.25">
      <c r="B475" s="9" t="e">
        <f t="shared" si="82"/>
        <v>#N/A</v>
      </c>
      <c r="C475" s="10" t="e">
        <f t="shared" si="74"/>
        <v>#N/A</v>
      </c>
      <c r="D475" s="11" t="str">
        <f>IF(ISERROR(B475),"",bsolve($B475,$E$2,$E$4,$E$8,$E$9))</f>
        <v/>
      </c>
      <c r="E475" s="11" t="str">
        <f t="shared" si="75"/>
        <v/>
      </c>
      <c r="F475" s="11" t="str">
        <f t="shared" si="78"/>
        <v/>
      </c>
      <c r="G475" s="11" t="str">
        <f t="shared" si="79"/>
        <v/>
      </c>
      <c r="H475" s="19" t="str">
        <f t="shared" si="76"/>
        <v/>
      </c>
      <c r="I475" s="21">
        <f t="shared" si="80"/>
        <v>0</v>
      </c>
      <c r="J475" s="21" t="e">
        <f t="shared" si="77"/>
        <v>#N/A</v>
      </c>
      <c r="K475" s="21" t="str">
        <f t="shared" si="81"/>
        <v/>
      </c>
    </row>
    <row r="476" spans="2:11" x14ac:dyDescent="0.25">
      <c r="B476" s="9" t="e">
        <f t="shared" si="82"/>
        <v>#N/A</v>
      </c>
      <c r="C476" s="10" t="e">
        <f t="shared" si="74"/>
        <v>#N/A</v>
      </c>
      <c r="D476" s="11" t="str">
        <f>IF(ISERROR(B476),"",bsolve($B476,$E$2,$E$4,$E$8,$E$9))</f>
        <v/>
      </c>
      <c r="E476" s="11" t="str">
        <f t="shared" si="75"/>
        <v/>
      </c>
      <c r="F476" s="11" t="str">
        <f t="shared" si="78"/>
        <v/>
      </c>
      <c r="G476" s="11" t="str">
        <f t="shared" si="79"/>
        <v/>
      </c>
      <c r="H476" s="19" t="str">
        <f t="shared" si="76"/>
        <v/>
      </c>
      <c r="I476" s="21">
        <f t="shared" si="80"/>
        <v>0</v>
      </c>
      <c r="J476" s="21" t="e">
        <f t="shared" si="77"/>
        <v>#N/A</v>
      </c>
      <c r="K476" s="21" t="str">
        <f t="shared" si="81"/>
        <v/>
      </c>
    </row>
    <row r="477" spans="2:11" x14ac:dyDescent="0.25">
      <c r="B477" s="9" t="e">
        <f t="shared" si="82"/>
        <v>#N/A</v>
      </c>
      <c r="C477" s="10" t="e">
        <f t="shared" si="74"/>
        <v>#N/A</v>
      </c>
      <c r="D477" s="11" t="str">
        <f>IF(ISERROR(B477),"",bsolve($B477,$E$2,$E$4,$E$8,$E$9))</f>
        <v/>
      </c>
      <c r="E477" s="11" t="str">
        <f t="shared" si="75"/>
        <v/>
      </c>
      <c r="F477" s="11" t="str">
        <f t="shared" si="78"/>
        <v/>
      </c>
      <c r="G477" s="11" t="str">
        <f t="shared" si="79"/>
        <v/>
      </c>
      <c r="H477" s="19" t="str">
        <f t="shared" si="76"/>
        <v/>
      </c>
      <c r="I477" s="21">
        <f t="shared" si="80"/>
        <v>0</v>
      </c>
      <c r="J477" s="21" t="e">
        <f t="shared" si="77"/>
        <v>#N/A</v>
      </c>
      <c r="K477" s="21" t="str">
        <f t="shared" si="81"/>
        <v/>
      </c>
    </row>
    <row r="478" spans="2:11" x14ac:dyDescent="0.25">
      <c r="B478" s="9" t="e">
        <f t="shared" si="82"/>
        <v>#N/A</v>
      </c>
      <c r="C478" s="10" t="e">
        <f t="shared" si="74"/>
        <v>#N/A</v>
      </c>
      <c r="D478" s="11" t="str">
        <f>IF(ISERROR(B478),"",bsolve($B478,$E$2,$E$4,$E$8,$E$9))</f>
        <v/>
      </c>
      <c r="E478" s="11" t="str">
        <f t="shared" si="75"/>
        <v/>
      </c>
      <c r="F478" s="11" t="str">
        <f t="shared" si="78"/>
        <v/>
      </c>
      <c r="G478" s="11" t="str">
        <f t="shared" si="79"/>
        <v/>
      </c>
      <c r="H478" s="19" t="str">
        <f t="shared" si="76"/>
        <v/>
      </c>
      <c r="I478" s="21">
        <f t="shared" si="80"/>
        <v>0</v>
      </c>
      <c r="J478" s="21" t="e">
        <f t="shared" si="77"/>
        <v>#N/A</v>
      </c>
      <c r="K478" s="21" t="str">
        <f t="shared" si="81"/>
        <v/>
      </c>
    </row>
    <row r="479" spans="2:11" x14ac:dyDescent="0.25">
      <c r="B479" s="9" t="e">
        <f t="shared" si="82"/>
        <v>#N/A</v>
      </c>
      <c r="C479" s="10" t="e">
        <f t="shared" si="74"/>
        <v>#N/A</v>
      </c>
      <c r="D479" s="11" t="str">
        <f>IF(ISERROR(B479),"",bsolve($B479,$E$2,$E$4,$E$8,$E$9))</f>
        <v/>
      </c>
      <c r="E479" s="11" t="str">
        <f t="shared" si="75"/>
        <v/>
      </c>
      <c r="F479" s="11" t="str">
        <f t="shared" si="78"/>
        <v/>
      </c>
      <c r="G479" s="11" t="str">
        <f t="shared" si="79"/>
        <v/>
      </c>
      <c r="H479" s="19" t="str">
        <f t="shared" si="76"/>
        <v/>
      </c>
      <c r="I479" s="21">
        <f t="shared" si="80"/>
        <v>0</v>
      </c>
      <c r="J479" s="21" t="e">
        <f t="shared" si="77"/>
        <v>#N/A</v>
      </c>
      <c r="K479" s="21" t="str">
        <f t="shared" si="81"/>
        <v/>
      </c>
    </row>
    <row r="480" spans="2:11" x14ac:dyDescent="0.25">
      <c r="B480" s="9" t="e">
        <f t="shared" si="82"/>
        <v>#N/A</v>
      </c>
      <c r="C480" s="10" t="e">
        <f t="shared" si="74"/>
        <v>#N/A</v>
      </c>
      <c r="D480" s="11" t="str">
        <f>IF(ISERROR(B480),"",bsolve($B480,$E$2,$E$4,$E$8,$E$9))</f>
        <v/>
      </c>
      <c r="E480" s="11" t="str">
        <f t="shared" si="75"/>
        <v/>
      </c>
      <c r="F480" s="11" t="str">
        <f t="shared" si="78"/>
        <v/>
      </c>
      <c r="G480" s="11" t="str">
        <f t="shared" si="79"/>
        <v/>
      </c>
      <c r="H480" s="19" t="str">
        <f t="shared" si="76"/>
        <v/>
      </c>
      <c r="I480" s="21">
        <f t="shared" si="80"/>
        <v>0</v>
      </c>
      <c r="J480" s="21" t="e">
        <f t="shared" si="77"/>
        <v>#N/A</v>
      </c>
      <c r="K480" s="21" t="str">
        <f t="shared" si="81"/>
        <v/>
      </c>
    </row>
    <row r="481" spans="2:11" x14ac:dyDescent="0.25">
      <c r="B481" s="9" t="e">
        <f t="shared" si="82"/>
        <v>#N/A</v>
      </c>
      <c r="C481" s="10" t="e">
        <f t="shared" si="74"/>
        <v>#N/A</v>
      </c>
      <c r="D481" s="11" t="str">
        <f>IF(ISERROR(B481),"",bsolve($B481,$E$2,$E$4,$E$8,$E$9))</f>
        <v/>
      </c>
      <c r="E481" s="11" t="str">
        <f t="shared" si="75"/>
        <v/>
      </c>
      <c r="F481" s="11" t="str">
        <f t="shared" si="78"/>
        <v/>
      </c>
      <c r="G481" s="11" t="str">
        <f t="shared" si="79"/>
        <v/>
      </c>
      <c r="H481" s="19" t="str">
        <f t="shared" si="76"/>
        <v/>
      </c>
      <c r="I481" s="21">
        <f t="shared" si="80"/>
        <v>0</v>
      </c>
      <c r="J481" s="21" t="e">
        <f t="shared" si="77"/>
        <v>#N/A</v>
      </c>
      <c r="K481" s="21" t="str">
        <f t="shared" si="81"/>
        <v/>
      </c>
    </row>
    <row r="482" spans="2:11" x14ac:dyDescent="0.25">
      <c r="B482" s="9" t="e">
        <f t="shared" si="82"/>
        <v>#N/A</v>
      </c>
      <c r="C482" s="10" t="e">
        <f t="shared" si="74"/>
        <v>#N/A</v>
      </c>
      <c r="D482" s="11" t="str">
        <f>IF(ISERROR(B482),"",bsolve($B482,$E$2,$E$4,$E$8,$E$9))</f>
        <v/>
      </c>
      <c r="E482" s="11" t="str">
        <f t="shared" si="75"/>
        <v/>
      </c>
      <c r="F482" s="11" t="str">
        <f t="shared" si="78"/>
        <v/>
      </c>
      <c r="G482" s="11" t="str">
        <f t="shared" si="79"/>
        <v/>
      </c>
      <c r="H482" s="19" t="str">
        <f t="shared" si="76"/>
        <v/>
      </c>
      <c r="I482" s="21">
        <f t="shared" si="80"/>
        <v>0</v>
      </c>
      <c r="J482" s="21" t="e">
        <f t="shared" si="77"/>
        <v>#N/A</v>
      </c>
      <c r="K482" s="21" t="str">
        <f t="shared" si="81"/>
        <v/>
      </c>
    </row>
    <row r="483" spans="2:11" x14ac:dyDescent="0.25">
      <c r="B483" s="9" t="e">
        <f t="shared" si="82"/>
        <v>#N/A</v>
      </c>
      <c r="C483" s="10" t="e">
        <f t="shared" si="74"/>
        <v>#N/A</v>
      </c>
      <c r="D483" s="11" t="str">
        <f>IF(ISERROR(B483),"",bsolve($B483,$E$2,$E$4,$E$8,$E$9))</f>
        <v/>
      </c>
      <c r="E483" s="11" t="str">
        <f t="shared" si="75"/>
        <v/>
      </c>
      <c r="F483" s="11" t="str">
        <f t="shared" si="78"/>
        <v/>
      </c>
      <c r="G483" s="11" t="str">
        <f t="shared" si="79"/>
        <v/>
      </c>
      <c r="H483" s="19" t="str">
        <f t="shared" si="76"/>
        <v/>
      </c>
      <c r="I483" s="21">
        <f t="shared" si="80"/>
        <v>0</v>
      </c>
      <c r="J483" s="21" t="e">
        <f t="shared" si="77"/>
        <v>#N/A</v>
      </c>
      <c r="K483" s="21" t="str">
        <f t="shared" si="81"/>
        <v/>
      </c>
    </row>
    <row r="484" spans="2:11" x14ac:dyDescent="0.25">
      <c r="B484" s="9" t="e">
        <f t="shared" si="82"/>
        <v>#N/A</v>
      </c>
      <c r="C484" s="10" t="e">
        <f t="shared" si="74"/>
        <v>#N/A</v>
      </c>
      <c r="D484" s="11" t="str">
        <f>IF(ISERROR(B484),"",bsolve($B484,$E$2,$E$4,$E$8,$E$9))</f>
        <v/>
      </c>
      <c r="E484" s="11" t="str">
        <f t="shared" si="75"/>
        <v/>
      </c>
      <c r="F484" s="11" t="str">
        <f t="shared" si="78"/>
        <v/>
      </c>
      <c r="G484" s="11" t="str">
        <f t="shared" si="79"/>
        <v/>
      </c>
      <c r="H484" s="19" t="str">
        <f t="shared" si="76"/>
        <v/>
      </c>
      <c r="I484" s="21">
        <f t="shared" si="80"/>
        <v>0</v>
      </c>
      <c r="J484" s="21" t="e">
        <f t="shared" si="77"/>
        <v>#N/A</v>
      </c>
      <c r="K484" s="21" t="str">
        <f t="shared" si="81"/>
        <v/>
      </c>
    </row>
    <row r="485" spans="2:11" x14ac:dyDescent="0.25">
      <c r="B485" s="9" t="e">
        <f t="shared" si="82"/>
        <v>#N/A</v>
      </c>
      <c r="C485" s="10" t="e">
        <f t="shared" si="74"/>
        <v>#N/A</v>
      </c>
      <c r="D485" s="11" t="str">
        <f>IF(ISERROR(B485),"",bsolve($B485,$E$2,$E$4,$E$8,$E$9))</f>
        <v/>
      </c>
      <c r="E485" s="11" t="str">
        <f t="shared" si="75"/>
        <v/>
      </c>
      <c r="F485" s="11" t="str">
        <f t="shared" si="78"/>
        <v/>
      </c>
      <c r="G485" s="11" t="str">
        <f t="shared" si="79"/>
        <v/>
      </c>
      <c r="H485" s="19" t="str">
        <f t="shared" si="76"/>
        <v/>
      </c>
      <c r="I485" s="21">
        <f t="shared" si="80"/>
        <v>0</v>
      </c>
      <c r="J485" s="21" t="e">
        <f t="shared" si="77"/>
        <v>#N/A</v>
      </c>
      <c r="K485" s="21" t="str">
        <f t="shared" si="81"/>
        <v/>
      </c>
    </row>
    <row r="486" spans="2:11" x14ac:dyDescent="0.25">
      <c r="B486" s="9" t="e">
        <f t="shared" si="82"/>
        <v>#N/A</v>
      </c>
      <c r="C486" s="10" t="e">
        <f t="shared" si="74"/>
        <v>#N/A</v>
      </c>
      <c r="D486" s="11" t="str">
        <f>IF(ISERROR(B486),"",bsolve($B486,$E$2,$E$4,$E$8,$E$9))</f>
        <v/>
      </c>
      <c r="E486" s="11" t="str">
        <f t="shared" si="75"/>
        <v/>
      </c>
      <c r="F486" s="11" t="str">
        <f t="shared" si="78"/>
        <v/>
      </c>
      <c r="G486" s="11" t="str">
        <f t="shared" si="79"/>
        <v/>
      </c>
      <c r="H486" s="19" t="str">
        <f t="shared" si="76"/>
        <v/>
      </c>
      <c r="I486" s="21">
        <f t="shared" si="80"/>
        <v>0</v>
      </c>
      <c r="J486" s="21" t="e">
        <f t="shared" si="77"/>
        <v>#N/A</v>
      </c>
      <c r="K486" s="21" t="str">
        <f t="shared" si="81"/>
        <v/>
      </c>
    </row>
    <row r="487" spans="2:11" x14ac:dyDescent="0.25">
      <c r="B487" s="9" t="e">
        <f t="shared" si="82"/>
        <v>#N/A</v>
      </c>
      <c r="C487" s="10" t="e">
        <f t="shared" si="74"/>
        <v>#N/A</v>
      </c>
      <c r="D487" s="11" t="str">
        <f>IF(ISERROR(B487),"",bsolve($B487,$E$2,$E$4,$E$8,$E$9))</f>
        <v/>
      </c>
      <c r="E487" s="11" t="str">
        <f t="shared" si="75"/>
        <v/>
      </c>
      <c r="F487" s="11" t="str">
        <f t="shared" si="78"/>
        <v/>
      </c>
      <c r="G487" s="11" t="str">
        <f t="shared" si="79"/>
        <v/>
      </c>
      <c r="H487" s="19" t="str">
        <f t="shared" si="76"/>
        <v/>
      </c>
      <c r="I487" s="21">
        <f t="shared" si="80"/>
        <v>0</v>
      </c>
      <c r="J487" s="21" t="e">
        <f t="shared" si="77"/>
        <v>#N/A</v>
      </c>
      <c r="K487" s="21" t="str">
        <f t="shared" si="81"/>
        <v/>
      </c>
    </row>
    <row r="488" spans="2:11" x14ac:dyDescent="0.25">
      <c r="B488" s="9" t="e">
        <f t="shared" si="82"/>
        <v>#N/A</v>
      </c>
      <c r="C488" s="10" t="e">
        <f t="shared" si="74"/>
        <v>#N/A</v>
      </c>
      <c r="D488" s="11" t="str">
        <f>IF(ISERROR(B488),"",bsolve($B488,$E$2,$E$4,$E$8,$E$9))</f>
        <v/>
      </c>
      <c r="E488" s="11" t="str">
        <f t="shared" si="75"/>
        <v/>
      </c>
      <c r="F488" s="11" t="str">
        <f t="shared" si="78"/>
        <v/>
      </c>
      <c r="G488" s="11" t="str">
        <f t="shared" si="79"/>
        <v/>
      </c>
      <c r="H488" s="19" t="str">
        <f t="shared" si="76"/>
        <v/>
      </c>
      <c r="I488" s="21">
        <f t="shared" si="80"/>
        <v>0</v>
      </c>
      <c r="J488" s="21" t="e">
        <f t="shared" si="77"/>
        <v>#N/A</v>
      </c>
      <c r="K488" s="21" t="str">
        <f t="shared" si="81"/>
        <v/>
      </c>
    </row>
    <row r="489" spans="2:11" x14ac:dyDescent="0.25">
      <c r="B489" s="9" t="e">
        <f t="shared" si="82"/>
        <v>#N/A</v>
      </c>
      <c r="C489" s="10" t="e">
        <f t="shared" si="74"/>
        <v>#N/A</v>
      </c>
      <c r="D489" s="11" t="str">
        <f>IF(ISERROR(B489),"",bsolve($B489,$E$2,$E$4,$E$8,$E$9))</f>
        <v/>
      </c>
      <c r="E489" s="11" t="str">
        <f t="shared" si="75"/>
        <v/>
      </c>
      <c r="F489" s="11" t="str">
        <f t="shared" si="78"/>
        <v/>
      </c>
      <c r="G489" s="11" t="str">
        <f t="shared" si="79"/>
        <v/>
      </c>
      <c r="H489" s="19" t="str">
        <f t="shared" si="76"/>
        <v/>
      </c>
      <c r="I489" s="21">
        <f t="shared" si="80"/>
        <v>0</v>
      </c>
      <c r="J489" s="21" t="e">
        <f t="shared" si="77"/>
        <v>#N/A</v>
      </c>
      <c r="K489" s="21" t="str">
        <f t="shared" si="81"/>
        <v/>
      </c>
    </row>
    <row r="490" spans="2:11" x14ac:dyDescent="0.25">
      <c r="B490" s="9" t="e">
        <f t="shared" si="82"/>
        <v>#N/A</v>
      </c>
      <c r="C490" s="10" t="e">
        <f t="shared" si="74"/>
        <v>#N/A</v>
      </c>
      <c r="D490" s="11" t="str">
        <f>IF(ISERROR(B490),"",bsolve($B490,$E$2,$E$4,$E$8,$E$9))</f>
        <v/>
      </c>
      <c r="E490" s="11" t="str">
        <f t="shared" si="75"/>
        <v/>
      </c>
      <c r="F490" s="11" t="str">
        <f t="shared" si="78"/>
        <v/>
      </c>
      <c r="G490" s="11" t="str">
        <f t="shared" si="79"/>
        <v/>
      </c>
      <c r="H490" s="19" t="str">
        <f t="shared" si="76"/>
        <v/>
      </c>
      <c r="I490" s="21">
        <f t="shared" si="80"/>
        <v>0</v>
      </c>
      <c r="J490" s="21" t="e">
        <f t="shared" si="77"/>
        <v>#N/A</v>
      </c>
      <c r="K490" s="21" t="str">
        <f t="shared" si="81"/>
        <v/>
      </c>
    </row>
    <row r="491" spans="2:11" x14ac:dyDescent="0.25">
      <c r="B491" s="9" t="e">
        <f t="shared" si="82"/>
        <v>#N/A</v>
      </c>
      <c r="C491" s="10" t="e">
        <f t="shared" si="74"/>
        <v>#N/A</v>
      </c>
      <c r="D491" s="11" t="str">
        <f>IF(ISERROR(B491),"",bsolve($B491,$E$2,$E$4,$E$8,$E$9))</f>
        <v/>
      </c>
      <c r="E491" s="11" t="str">
        <f t="shared" si="75"/>
        <v/>
      </c>
      <c r="F491" s="11" t="str">
        <f t="shared" si="78"/>
        <v/>
      </c>
      <c r="G491" s="11" t="str">
        <f t="shared" si="79"/>
        <v/>
      </c>
      <c r="H491" s="19" t="str">
        <f t="shared" si="76"/>
        <v/>
      </c>
      <c r="I491" s="21">
        <f t="shared" si="80"/>
        <v>0</v>
      </c>
      <c r="J491" s="21" t="e">
        <f t="shared" si="77"/>
        <v>#N/A</v>
      </c>
      <c r="K491" s="21" t="str">
        <f t="shared" si="81"/>
        <v/>
      </c>
    </row>
    <row r="492" spans="2:11" x14ac:dyDescent="0.25">
      <c r="B492" s="9" t="e">
        <f t="shared" si="82"/>
        <v>#N/A</v>
      </c>
      <c r="C492" s="10" t="e">
        <f t="shared" si="74"/>
        <v>#N/A</v>
      </c>
      <c r="D492" s="11" t="str">
        <f>IF(ISERROR(B492),"",bsolve($B492,$E$2,$E$4,$E$8,$E$9))</f>
        <v/>
      </c>
      <c r="E492" s="11" t="str">
        <f t="shared" si="75"/>
        <v/>
      </c>
      <c r="F492" s="11" t="str">
        <f t="shared" si="78"/>
        <v/>
      </c>
      <c r="G492" s="11" t="str">
        <f t="shared" si="79"/>
        <v/>
      </c>
      <c r="H492" s="19" t="str">
        <f t="shared" si="76"/>
        <v/>
      </c>
      <c r="I492" s="21">
        <f t="shared" si="80"/>
        <v>0</v>
      </c>
      <c r="J492" s="21" t="e">
        <f t="shared" si="77"/>
        <v>#N/A</v>
      </c>
      <c r="K492" s="21" t="str">
        <f t="shared" si="81"/>
        <v/>
      </c>
    </row>
    <row r="493" spans="2:11" x14ac:dyDescent="0.25">
      <c r="B493" s="9" t="e">
        <f t="shared" si="82"/>
        <v>#N/A</v>
      </c>
      <c r="C493" s="10" t="e">
        <f t="shared" si="74"/>
        <v>#N/A</v>
      </c>
      <c r="D493" s="11" t="str">
        <f>IF(ISERROR(B493),"",bsolve($B493,$E$2,$E$4,$E$8,$E$9))</f>
        <v/>
      </c>
      <c r="E493" s="11" t="str">
        <f t="shared" si="75"/>
        <v/>
      </c>
      <c r="F493" s="11" t="str">
        <f t="shared" si="78"/>
        <v/>
      </c>
      <c r="G493" s="11" t="str">
        <f t="shared" si="79"/>
        <v/>
      </c>
      <c r="H493" s="19" t="str">
        <f t="shared" si="76"/>
        <v/>
      </c>
      <c r="I493" s="21">
        <f t="shared" si="80"/>
        <v>0</v>
      </c>
      <c r="J493" s="21" t="e">
        <f t="shared" si="77"/>
        <v>#N/A</v>
      </c>
      <c r="K493" s="21" t="str">
        <f t="shared" si="81"/>
        <v/>
      </c>
    </row>
    <row r="494" spans="2:11" x14ac:dyDescent="0.25">
      <c r="B494" s="9" t="e">
        <f t="shared" si="82"/>
        <v>#N/A</v>
      </c>
      <c r="C494" s="10" t="e">
        <f t="shared" si="74"/>
        <v>#N/A</v>
      </c>
      <c r="D494" s="11" t="str">
        <f>IF(ISERROR(B494),"",bsolve($B494,$E$2,$E$4,$E$8,$E$9))</f>
        <v/>
      </c>
      <c r="E494" s="11" t="str">
        <f t="shared" si="75"/>
        <v/>
      </c>
      <c r="F494" s="11" t="str">
        <f t="shared" si="78"/>
        <v/>
      </c>
      <c r="G494" s="11" t="str">
        <f t="shared" si="79"/>
        <v/>
      </c>
      <c r="H494" s="19" t="str">
        <f t="shared" si="76"/>
        <v/>
      </c>
      <c r="I494" s="21">
        <f t="shared" si="80"/>
        <v>0</v>
      </c>
      <c r="J494" s="21" t="e">
        <f t="shared" si="77"/>
        <v>#N/A</v>
      </c>
      <c r="K494" s="21" t="str">
        <f t="shared" si="81"/>
        <v/>
      </c>
    </row>
    <row r="495" spans="2:11" x14ac:dyDescent="0.25">
      <c r="B495" s="9" t="e">
        <f t="shared" si="82"/>
        <v>#N/A</v>
      </c>
      <c r="C495" s="10" t="e">
        <f t="shared" si="74"/>
        <v>#N/A</v>
      </c>
      <c r="D495" s="11" t="str">
        <f>IF(ISERROR(B495),"",bsolve($B495,$E$2,$E$4,$E$8,$E$9))</f>
        <v/>
      </c>
      <c r="E495" s="11" t="str">
        <f t="shared" si="75"/>
        <v/>
      </c>
      <c r="F495" s="11" t="str">
        <f t="shared" si="78"/>
        <v/>
      </c>
      <c r="G495" s="11" t="str">
        <f t="shared" si="79"/>
        <v/>
      </c>
      <c r="H495" s="19" t="str">
        <f t="shared" si="76"/>
        <v/>
      </c>
      <c r="I495" s="21">
        <f t="shared" si="80"/>
        <v>0</v>
      </c>
      <c r="J495" s="21" t="e">
        <f t="shared" si="77"/>
        <v>#N/A</v>
      </c>
      <c r="K495" s="21" t="str">
        <f t="shared" si="81"/>
        <v/>
      </c>
    </row>
    <row r="496" spans="2:11" x14ac:dyDescent="0.25">
      <c r="B496" s="9" t="e">
        <f t="shared" si="82"/>
        <v>#N/A</v>
      </c>
      <c r="C496" s="10" t="e">
        <f t="shared" si="74"/>
        <v>#N/A</v>
      </c>
      <c r="D496" s="11" t="str">
        <f>IF(ISERROR(B496),"",bsolve($B496,$E$2,$E$4,$E$8,$E$9))</f>
        <v/>
      </c>
      <c r="E496" s="11" t="str">
        <f t="shared" si="75"/>
        <v/>
      </c>
      <c r="F496" s="11" t="str">
        <f t="shared" si="78"/>
        <v/>
      </c>
      <c r="G496" s="11" t="str">
        <f t="shared" si="79"/>
        <v/>
      </c>
      <c r="H496" s="19" t="str">
        <f t="shared" si="76"/>
        <v/>
      </c>
      <c r="I496" s="21">
        <f t="shared" si="80"/>
        <v>0</v>
      </c>
      <c r="J496" s="21" t="e">
        <f t="shared" si="77"/>
        <v>#N/A</v>
      </c>
      <c r="K496" s="21" t="str">
        <f t="shared" si="81"/>
        <v/>
      </c>
    </row>
    <row r="497" spans="2:11" x14ac:dyDescent="0.25">
      <c r="B497" s="9" t="e">
        <f t="shared" si="82"/>
        <v>#N/A</v>
      </c>
      <c r="C497" s="10" t="e">
        <f t="shared" si="74"/>
        <v>#N/A</v>
      </c>
      <c r="D497" s="11" t="str">
        <f>IF(ISERROR(B497),"",bsolve($B497,$E$2,$E$4,$E$8,$E$9))</f>
        <v/>
      </c>
      <c r="E497" s="11" t="str">
        <f t="shared" si="75"/>
        <v/>
      </c>
      <c r="F497" s="11" t="str">
        <f t="shared" si="78"/>
        <v/>
      </c>
      <c r="G497" s="11" t="str">
        <f t="shared" si="79"/>
        <v/>
      </c>
      <c r="H497" s="19" t="str">
        <f t="shared" si="76"/>
        <v/>
      </c>
      <c r="I497" s="21">
        <f t="shared" si="80"/>
        <v>0</v>
      </c>
      <c r="J497" s="21" t="e">
        <f t="shared" si="77"/>
        <v>#N/A</v>
      </c>
      <c r="K497" s="21" t="str">
        <f t="shared" si="81"/>
        <v/>
      </c>
    </row>
    <row r="498" spans="2:11" x14ac:dyDescent="0.25">
      <c r="B498" s="9" t="e">
        <f t="shared" si="82"/>
        <v>#N/A</v>
      </c>
      <c r="C498" s="10" t="e">
        <f t="shared" si="74"/>
        <v>#N/A</v>
      </c>
      <c r="D498" s="11" t="str">
        <f>IF(ISERROR(B498),"",bsolve($B498,$E$2,$E$4,$E$8,$E$9))</f>
        <v/>
      </c>
      <c r="E498" s="11" t="str">
        <f t="shared" si="75"/>
        <v/>
      </c>
      <c r="F498" s="11" t="str">
        <f t="shared" si="78"/>
        <v/>
      </c>
      <c r="G498" s="11" t="str">
        <f t="shared" si="79"/>
        <v/>
      </c>
      <c r="H498" s="19" t="str">
        <f t="shared" si="76"/>
        <v/>
      </c>
      <c r="I498" s="21">
        <f t="shared" si="80"/>
        <v>0</v>
      </c>
      <c r="J498" s="21" t="e">
        <f t="shared" si="77"/>
        <v>#N/A</v>
      </c>
      <c r="K498" s="21" t="str">
        <f t="shared" si="81"/>
        <v/>
      </c>
    </row>
    <row r="499" spans="2:11" x14ac:dyDescent="0.25">
      <c r="B499" s="9" t="e">
        <f t="shared" si="82"/>
        <v>#N/A</v>
      </c>
      <c r="C499" s="10" t="e">
        <f t="shared" si="74"/>
        <v>#N/A</v>
      </c>
      <c r="D499" s="11" t="str">
        <f>IF(ISERROR(B499),"",bsolve($B499,$E$2,$E$4,$E$8,$E$9))</f>
        <v/>
      </c>
      <c r="E499" s="11" t="str">
        <f t="shared" si="75"/>
        <v/>
      </c>
      <c r="F499" s="11" t="str">
        <f t="shared" si="78"/>
        <v/>
      </c>
      <c r="G499" s="11" t="str">
        <f t="shared" si="79"/>
        <v/>
      </c>
      <c r="H499" s="19" t="str">
        <f t="shared" si="76"/>
        <v/>
      </c>
      <c r="I499" s="21">
        <f t="shared" si="80"/>
        <v>0</v>
      </c>
      <c r="J499" s="21" t="e">
        <f t="shared" si="77"/>
        <v>#N/A</v>
      </c>
      <c r="K499" s="21" t="str">
        <f t="shared" si="81"/>
        <v/>
      </c>
    </row>
    <row r="500" spans="2:11" x14ac:dyDescent="0.25">
      <c r="B500" s="9" t="e">
        <f t="shared" si="82"/>
        <v>#N/A</v>
      </c>
      <c r="C500" s="10" t="e">
        <f t="shared" si="74"/>
        <v>#N/A</v>
      </c>
      <c r="D500" s="11" t="str">
        <f>IF(ISERROR(B500),"",bsolve($B500,$E$2,$E$4,$E$8,$E$9))</f>
        <v/>
      </c>
      <c r="E500" s="11" t="str">
        <f t="shared" si="75"/>
        <v/>
      </c>
      <c r="F500" s="11" t="str">
        <f t="shared" si="78"/>
        <v/>
      </c>
      <c r="G500" s="11" t="str">
        <f t="shared" si="79"/>
        <v/>
      </c>
      <c r="H500" s="19" t="str">
        <f t="shared" si="76"/>
        <v/>
      </c>
      <c r="I500" s="21">
        <f t="shared" si="80"/>
        <v>0</v>
      </c>
      <c r="J500" s="21" t="e">
        <f t="shared" si="77"/>
        <v>#N/A</v>
      </c>
      <c r="K500" s="21" t="str">
        <f t="shared" si="81"/>
        <v/>
      </c>
    </row>
    <row r="501" spans="2:11" x14ac:dyDescent="0.25">
      <c r="B501" s="9" t="e">
        <f t="shared" si="82"/>
        <v>#N/A</v>
      </c>
      <c r="C501" s="10" t="e">
        <f t="shared" si="74"/>
        <v>#N/A</v>
      </c>
      <c r="D501" s="11" t="str">
        <f>IF(ISERROR(B501),"",bsolve($B501,$E$2,$E$4,$E$8,$E$9))</f>
        <v/>
      </c>
      <c r="E501" s="11" t="str">
        <f t="shared" si="75"/>
        <v/>
      </c>
      <c r="F501" s="11" t="str">
        <f t="shared" si="78"/>
        <v/>
      </c>
      <c r="G501" s="11" t="str">
        <f t="shared" si="79"/>
        <v/>
      </c>
      <c r="H501" s="19" t="str">
        <f t="shared" si="76"/>
        <v/>
      </c>
      <c r="I501" s="21">
        <f t="shared" si="80"/>
        <v>0</v>
      </c>
      <c r="J501" s="21" t="e">
        <f t="shared" si="77"/>
        <v>#N/A</v>
      </c>
      <c r="K501" s="21" t="str">
        <f t="shared" si="81"/>
        <v/>
      </c>
    </row>
    <row r="502" spans="2:11" x14ac:dyDescent="0.25">
      <c r="B502" s="9" t="e">
        <f t="shared" si="82"/>
        <v>#N/A</v>
      </c>
      <c r="C502" s="10" t="e">
        <f t="shared" si="74"/>
        <v>#N/A</v>
      </c>
      <c r="D502" s="11" t="str">
        <f>IF(ISERROR(B502),"",bsolve($B502,$E$2,$E$4,$E$8,$E$9))</f>
        <v/>
      </c>
      <c r="E502" s="11" t="str">
        <f t="shared" si="75"/>
        <v/>
      </c>
      <c r="F502" s="11" t="str">
        <f t="shared" si="78"/>
        <v/>
      </c>
      <c r="G502" s="11" t="str">
        <f t="shared" si="79"/>
        <v/>
      </c>
      <c r="H502" s="19" t="str">
        <f t="shared" si="76"/>
        <v/>
      </c>
      <c r="I502" s="21">
        <f t="shared" si="80"/>
        <v>0</v>
      </c>
      <c r="J502" s="21" t="e">
        <f t="shared" si="77"/>
        <v>#N/A</v>
      </c>
      <c r="K502" s="21" t="str">
        <f t="shared" si="81"/>
        <v/>
      </c>
    </row>
    <row r="503" spans="2:11" x14ac:dyDescent="0.25">
      <c r="B503" s="9" t="e">
        <f t="shared" si="82"/>
        <v>#N/A</v>
      </c>
      <c r="C503" s="10" t="e">
        <f t="shared" si="74"/>
        <v>#N/A</v>
      </c>
      <c r="D503" s="11" t="str">
        <f>IF(ISERROR(B503),"",bsolve($B503,$E$2,$E$4,$E$8,$E$9))</f>
        <v/>
      </c>
      <c r="E503" s="11" t="str">
        <f t="shared" si="75"/>
        <v/>
      </c>
      <c r="F503" s="11" t="str">
        <f t="shared" si="78"/>
        <v/>
      </c>
      <c r="G503" s="11" t="str">
        <f t="shared" si="79"/>
        <v/>
      </c>
      <c r="H503" s="19" t="str">
        <f t="shared" si="76"/>
        <v/>
      </c>
      <c r="I503" s="21">
        <f t="shared" si="80"/>
        <v>0</v>
      </c>
      <c r="J503" s="21" t="e">
        <f t="shared" si="77"/>
        <v>#N/A</v>
      </c>
      <c r="K503" s="21" t="str">
        <f t="shared" si="81"/>
        <v/>
      </c>
    </row>
    <row r="504" spans="2:11" x14ac:dyDescent="0.25">
      <c r="B504" s="9" t="e">
        <f t="shared" si="82"/>
        <v>#N/A</v>
      </c>
      <c r="C504" s="10" t="e">
        <f t="shared" si="74"/>
        <v>#N/A</v>
      </c>
      <c r="D504" s="11" t="str">
        <f>IF(ISERROR(B504),"",bsolve($B504,$E$2,$E$4,$E$8,$E$9))</f>
        <v/>
      </c>
      <c r="E504" s="11" t="str">
        <f t="shared" si="75"/>
        <v/>
      </c>
      <c r="F504" s="11" t="str">
        <f t="shared" si="78"/>
        <v/>
      </c>
      <c r="G504" s="11" t="str">
        <f t="shared" si="79"/>
        <v/>
      </c>
      <c r="H504" s="19" t="str">
        <f t="shared" si="76"/>
        <v/>
      </c>
      <c r="I504" s="21">
        <f t="shared" si="80"/>
        <v>0</v>
      </c>
      <c r="J504" s="21" t="e">
        <f t="shared" si="77"/>
        <v>#N/A</v>
      </c>
      <c r="K504" s="21" t="str">
        <f t="shared" si="81"/>
        <v/>
      </c>
    </row>
    <row r="505" spans="2:11" x14ac:dyDescent="0.25">
      <c r="B505" s="9" t="e">
        <f t="shared" si="82"/>
        <v>#N/A</v>
      </c>
      <c r="C505" s="10" t="e">
        <f t="shared" si="74"/>
        <v>#N/A</v>
      </c>
      <c r="D505" s="11" t="str">
        <f>IF(ISERROR(B505),"",bsolve($B505,$E$2,$E$4,$E$8,$E$9))</f>
        <v/>
      </c>
      <c r="E505" s="11" t="str">
        <f t="shared" si="75"/>
        <v/>
      </c>
      <c r="F505" s="11" t="str">
        <f t="shared" si="78"/>
        <v/>
      </c>
      <c r="G505" s="11" t="str">
        <f t="shared" si="79"/>
        <v/>
      </c>
      <c r="H505" s="19" t="str">
        <f t="shared" si="76"/>
        <v/>
      </c>
      <c r="I505" s="21">
        <f t="shared" si="80"/>
        <v>0</v>
      </c>
      <c r="J505" s="21" t="e">
        <f t="shared" si="77"/>
        <v>#N/A</v>
      </c>
      <c r="K505" s="21" t="str">
        <f t="shared" si="81"/>
        <v/>
      </c>
    </row>
    <row r="506" spans="2:11" x14ac:dyDescent="0.25">
      <c r="B506" s="9" t="e">
        <f t="shared" si="82"/>
        <v>#N/A</v>
      </c>
      <c r="C506" s="10" t="e">
        <f t="shared" si="74"/>
        <v>#N/A</v>
      </c>
      <c r="D506" s="11" t="str">
        <f>IF(ISERROR(B506),"",bsolve($B506,$E$2,$E$4,$E$8,$E$9))</f>
        <v/>
      </c>
      <c r="E506" s="11" t="str">
        <f t="shared" si="75"/>
        <v/>
      </c>
      <c r="F506" s="11" t="str">
        <f t="shared" si="78"/>
        <v/>
      </c>
      <c r="G506" s="11" t="str">
        <f t="shared" si="79"/>
        <v/>
      </c>
      <c r="H506" s="19" t="str">
        <f t="shared" si="76"/>
        <v/>
      </c>
      <c r="I506" s="21">
        <f t="shared" si="80"/>
        <v>0</v>
      </c>
      <c r="J506" s="21" t="e">
        <f t="shared" si="77"/>
        <v>#N/A</v>
      </c>
      <c r="K506" s="21" t="str">
        <f t="shared" si="81"/>
        <v/>
      </c>
    </row>
    <row r="507" spans="2:11" x14ac:dyDescent="0.25">
      <c r="B507" s="9" t="e">
        <f t="shared" si="82"/>
        <v>#N/A</v>
      </c>
      <c r="C507" s="10" t="e">
        <f t="shared" si="74"/>
        <v>#N/A</v>
      </c>
      <c r="D507" s="11" t="str">
        <f>IF(ISERROR(B507),"",bsolve($B507,$E$2,$E$4,$E$8,$E$9))</f>
        <v/>
      </c>
      <c r="E507" s="11" t="str">
        <f t="shared" si="75"/>
        <v/>
      </c>
      <c r="F507" s="11" t="str">
        <f t="shared" si="78"/>
        <v/>
      </c>
      <c r="G507" s="11" t="str">
        <f t="shared" si="79"/>
        <v/>
      </c>
      <c r="H507" s="19" t="str">
        <f t="shared" si="76"/>
        <v/>
      </c>
      <c r="I507" s="21">
        <f t="shared" si="80"/>
        <v>0</v>
      </c>
      <c r="J507" s="21" t="e">
        <f t="shared" si="77"/>
        <v>#N/A</v>
      </c>
      <c r="K507" s="21" t="str">
        <f t="shared" si="81"/>
        <v/>
      </c>
    </row>
    <row r="508" spans="2:11" x14ac:dyDescent="0.25">
      <c r="B508" s="9" t="e">
        <f t="shared" si="82"/>
        <v>#N/A</v>
      </c>
      <c r="C508" s="10" t="e">
        <f t="shared" si="74"/>
        <v>#N/A</v>
      </c>
      <c r="D508" s="11" t="str">
        <f>IF(ISERROR(B508),"",bsolve($B508,$E$2,$E$4,$E$8,$E$9))</f>
        <v/>
      </c>
      <c r="E508" s="11" t="str">
        <f t="shared" si="75"/>
        <v/>
      </c>
      <c r="F508" s="11" t="str">
        <f t="shared" si="78"/>
        <v/>
      </c>
      <c r="G508" s="11" t="str">
        <f t="shared" si="79"/>
        <v/>
      </c>
      <c r="H508" s="19" t="str">
        <f t="shared" si="76"/>
        <v/>
      </c>
      <c r="I508" s="21">
        <f t="shared" si="80"/>
        <v>0</v>
      </c>
      <c r="J508" s="21" t="e">
        <f t="shared" si="77"/>
        <v>#N/A</v>
      </c>
      <c r="K508" s="21" t="str">
        <f t="shared" si="81"/>
        <v/>
      </c>
    </row>
    <row r="509" spans="2:11" x14ac:dyDescent="0.25">
      <c r="B509" s="9" t="e">
        <f t="shared" si="82"/>
        <v>#N/A</v>
      </c>
      <c r="C509" s="10" t="e">
        <f t="shared" si="74"/>
        <v>#N/A</v>
      </c>
      <c r="D509" s="11" t="str">
        <f>IF(ISERROR(B509),"",bsolve($B509,$E$2,$E$4,$E$8,$E$9))</f>
        <v/>
      </c>
      <c r="E509" s="11" t="str">
        <f t="shared" si="75"/>
        <v/>
      </c>
      <c r="F509" s="11" t="str">
        <f t="shared" si="78"/>
        <v/>
      </c>
      <c r="G509" s="11" t="str">
        <f t="shared" si="79"/>
        <v/>
      </c>
      <c r="H509" s="19" t="str">
        <f t="shared" si="76"/>
        <v/>
      </c>
      <c r="I509" s="21">
        <f t="shared" si="80"/>
        <v>0</v>
      </c>
      <c r="J509" s="21" t="e">
        <f t="shared" si="77"/>
        <v>#N/A</v>
      </c>
      <c r="K509" s="21" t="str">
        <f t="shared" si="81"/>
        <v/>
      </c>
    </row>
    <row r="510" spans="2:11" x14ac:dyDescent="0.25">
      <c r="B510" s="9" t="e">
        <f t="shared" si="82"/>
        <v>#N/A</v>
      </c>
      <c r="C510" s="10" t="e">
        <f t="shared" si="74"/>
        <v>#N/A</v>
      </c>
      <c r="D510" s="11" t="str">
        <f>IF(ISERROR(B510),"",bsolve($B510,$E$2,$E$4,$E$8,$E$9))</f>
        <v/>
      </c>
      <c r="E510" s="11" t="str">
        <f t="shared" si="75"/>
        <v/>
      </c>
      <c r="F510" s="11" t="str">
        <f t="shared" si="78"/>
        <v/>
      </c>
      <c r="G510" s="11" t="str">
        <f t="shared" si="79"/>
        <v/>
      </c>
      <c r="H510" s="19" t="str">
        <f t="shared" si="76"/>
        <v/>
      </c>
      <c r="I510" s="21">
        <f t="shared" si="80"/>
        <v>0</v>
      </c>
      <c r="J510" s="21" t="e">
        <f t="shared" si="77"/>
        <v>#N/A</v>
      </c>
      <c r="K510" s="21" t="str">
        <f t="shared" si="81"/>
        <v/>
      </c>
    </row>
    <row r="511" spans="2:11" x14ac:dyDescent="0.25">
      <c r="B511" s="9" t="e">
        <f t="shared" si="82"/>
        <v>#N/A</v>
      </c>
      <c r="C511" s="10" t="e">
        <f t="shared" si="74"/>
        <v>#N/A</v>
      </c>
      <c r="D511" s="11" t="str">
        <f>IF(ISERROR(B511),"",bsolve($B511,$E$2,$E$4,$E$8,$E$9))</f>
        <v/>
      </c>
      <c r="E511" s="11" t="str">
        <f t="shared" si="75"/>
        <v/>
      </c>
      <c r="F511" s="11" t="str">
        <f t="shared" si="78"/>
        <v/>
      </c>
      <c r="G511" s="11" t="str">
        <f t="shared" si="79"/>
        <v/>
      </c>
      <c r="H511" s="19" t="str">
        <f t="shared" si="76"/>
        <v/>
      </c>
      <c r="I511" s="21">
        <f t="shared" si="80"/>
        <v>0</v>
      </c>
      <c r="J511" s="21" t="e">
        <f t="shared" si="77"/>
        <v>#N/A</v>
      </c>
      <c r="K511" s="21" t="str">
        <f t="shared" si="81"/>
        <v/>
      </c>
    </row>
    <row r="512" spans="2:11" x14ac:dyDescent="0.25">
      <c r="B512" s="9" t="e">
        <f t="shared" si="82"/>
        <v>#N/A</v>
      </c>
      <c r="C512" s="10" t="e">
        <f t="shared" si="74"/>
        <v>#N/A</v>
      </c>
      <c r="D512" s="11" t="str">
        <f>IF(ISERROR(B512),"",bsolve($B512,$E$2,$E$4,$E$8,$E$9))</f>
        <v/>
      </c>
      <c r="E512" s="11" t="str">
        <f t="shared" si="75"/>
        <v/>
      </c>
      <c r="F512" s="11" t="str">
        <f t="shared" si="78"/>
        <v/>
      </c>
      <c r="G512" s="11" t="str">
        <f t="shared" si="79"/>
        <v/>
      </c>
      <c r="H512" s="19" t="str">
        <f t="shared" si="76"/>
        <v/>
      </c>
      <c r="I512" s="21">
        <f t="shared" si="80"/>
        <v>0</v>
      </c>
      <c r="J512" s="21" t="e">
        <f t="shared" si="77"/>
        <v>#N/A</v>
      </c>
      <c r="K512" s="21" t="str">
        <f t="shared" si="81"/>
        <v/>
      </c>
    </row>
    <row r="513" spans="2:11" x14ac:dyDescent="0.25">
      <c r="B513" s="9" t="e">
        <f t="shared" si="82"/>
        <v>#N/A</v>
      </c>
      <c r="C513" s="10" t="e">
        <f t="shared" si="74"/>
        <v>#N/A</v>
      </c>
      <c r="D513" s="11" t="str">
        <f>IF(ISERROR(B513),"",bsolve($B513,$E$2,$E$4,$E$8,$E$9))</f>
        <v/>
      </c>
      <c r="E513" s="11" t="str">
        <f t="shared" si="75"/>
        <v/>
      </c>
      <c r="F513" s="11" t="str">
        <f t="shared" si="78"/>
        <v/>
      </c>
      <c r="G513" s="11" t="str">
        <f t="shared" si="79"/>
        <v/>
      </c>
      <c r="H513" s="19" t="str">
        <f t="shared" si="76"/>
        <v/>
      </c>
      <c r="I513" s="21">
        <f t="shared" si="80"/>
        <v>0</v>
      </c>
      <c r="J513" s="21" t="e">
        <f t="shared" si="77"/>
        <v>#N/A</v>
      </c>
      <c r="K513" s="21" t="str">
        <f t="shared" si="81"/>
        <v/>
      </c>
    </row>
    <row r="514" spans="2:11" x14ac:dyDescent="0.25">
      <c r="B514" s="9" t="e">
        <f t="shared" si="82"/>
        <v>#N/A</v>
      </c>
      <c r="C514" s="10" t="e">
        <f t="shared" si="74"/>
        <v>#N/A</v>
      </c>
      <c r="D514" s="11" t="str">
        <f>IF(ISERROR(B514),"",bsolve($B514,$E$2,$E$4,$E$8,$E$9))</f>
        <v/>
      </c>
      <c r="E514" s="11" t="str">
        <f t="shared" si="75"/>
        <v/>
      </c>
      <c r="F514" s="11" t="str">
        <f t="shared" si="78"/>
        <v/>
      </c>
      <c r="G514" s="11" t="str">
        <f t="shared" si="79"/>
        <v/>
      </c>
      <c r="H514" s="19" t="str">
        <f t="shared" si="76"/>
        <v/>
      </c>
      <c r="I514" s="21">
        <f t="shared" si="80"/>
        <v>0</v>
      </c>
      <c r="J514" s="21" t="e">
        <f t="shared" si="77"/>
        <v>#N/A</v>
      </c>
      <c r="K514" s="21" t="str">
        <f t="shared" si="81"/>
        <v/>
      </c>
    </row>
    <row r="515" spans="2:11" x14ac:dyDescent="0.25">
      <c r="B515" s="9" t="e">
        <f t="shared" si="82"/>
        <v>#N/A</v>
      </c>
      <c r="C515" s="10" t="e">
        <f t="shared" si="74"/>
        <v>#N/A</v>
      </c>
      <c r="D515" s="11" t="str">
        <f>IF(ISERROR(B515),"",bsolve($B515,$E$2,$E$4,$E$8,$E$9))</f>
        <v/>
      </c>
      <c r="E515" s="11" t="str">
        <f t="shared" si="75"/>
        <v/>
      </c>
      <c r="F515" s="11" t="str">
        <f t="shared" si="78"/>
        <v/>
      </c>
      <c r="G515" s="11" t="str">
        <f t="shared" si="79"/>
        <v/>
      </c>
      <c r="H515" s="19" t="str">
        <f t="shared" si="76"/>
        <v/>
      </c>
      <c r="I515" s="21">
        <f t="shared" si="80"/>
        <v>0</v>
      </c>
      <c r="J515" s="21" t="e">
        <f t="shared" si="77"/>
        <v>#N/A</v>
      </c>
      <c r="K515" s="21" t="str">
        <f t="shared" si="81"/>
        <v/>
      </c>
    </row>
    <row r="516" spans="2:11" x14ac:dyDescent="0.25">
      <c r="B516" s="9" t="e">
        <f t="shared" si="82"/>
        <v>#N/A</v>
      </c>
      <c r="C516" s="10" t="e">
        <f t="shared" si="74"/>
        <v>#N/A</v>
      </c>
      <c r="D516" s="11" t="str">
        <f>IF(ISERROR(B516),"",bsolve($B516,$E$2,$E$4,$E$8,$E$9))</f>
        <v/>
      </c>
      <c r="E516" s="11" t="str">
        <f t="shared" si="75"/>
        <v/>
      </c>
      <c r="F516" s="11" t="str">
        <f t="shared" si="78"/>
        <v/>
      </c>
      <c r="G516" s="11" t="str">
        <f t="shared" si="79"/>
        <v/>
      </c>
      <c r="H516" s="19" t="str">
        <f t="shared" si="76"/>
        <v/>
      </c>
      <c r="I516" s="21">
        <f t="shared" si="80"/>
        <v>0</v>
      </c>
      <c r="J516" s="21" t="e">
        <f t="shared" si="77"/>
        <v>#N/A</v>
      </c>
      <c r="K516" s="21" t="str">
        <f t="shared" si="81"/>
        <v/>
      </c>
    </row>
    <row r="517" spans="2:11" x14ac:dyDescent="0.25">
      <c r="B517" s="9" t="e">
        <f t="shared" si="82"/>
        <v>#N/A</v>
      </c>
      <c r="C517" s="10" t="e">
        <f t="shared" si="74"/>
        <v>#N/A</v>
      </c>
      <c r="D517" s="11" t="str">
        <f>IF(ISERROR(B517),"",bsolve($B517,$E$2,$E$4,$E$8,$E$9))</f>
        <v/>
      </c>
      <c r="E517" s="11" t="str">
        <f t="shared" si="75"/>
        <v/>
      </c>
      <c r="F517" s="11" t="str">
        <f t="shared" si="78"/>
        <v/>
      </c>
      <c r="G517" s="11" t="str">
        <f t="shared" si="79"/>
        <v/>
      </c>
      <c r="H517" s="19" t="str">
        <f t="shared" si="76"/>
        <v/>
      </c>
      <c r="I517" s="21">
        <f t="shared" si="80"/>
        <v>0</v>
      </c>
      <c r="J517" s="21" t="e">
        <f t="shared" si="77"/>
        <v>#N/A</v>
      </c>
      <c r="K517" s="21" t="str">
        <f t="shared" si="81"/>
        <v/>
      </c>
    </row>
    <row r="518" spans="2:11" x14ac:dyDescent="0.25">
      <c r="B518" s="9" t="e">
        <f t="shared" si="82"/>
        <v>#N/A</v>
      </c>
      <c r="C518" s="10" t="e">
        <f t="shared" si="74"/>
        <v>#N/A</v>
      </c>
      <c r="D518" s="11" t="str">
        <f>IF(ISERROR(B518),"",bsolve($B518,$E$2,$E$4,$E$8,$E$9))</f>
        <v/>
      </c>
      <c r="E518" s="11" t="str">
        <f t="shared" si="75"/>
        <v/>
      </c>
      <c r="F518" s="11" t="str">
        <f t="shared" si="78"/>
        <v/>
      </c>
      <c r="G518" s="11" t="str">
        <f t="shared" si="79"/>
        <v/>
      </c>
      <c r="H518" s="19" t="str">
        <f t="shared" si="76"/>
        <v/>
      </c>
      <c r="I518" s="21">
        <f t="shared" si="80"/>
        <v>0</v>
      </c>
      <c r="J518" s="21" t="e">
        <f t="shared" si="77"/>
        <v>#N/A</v>
      </c>
      <c r="K518" s="21" t="str">
        <f t="shared" si="81"/>
        <v/>
      </c>
    </row>
    <row r="519" spans="2:11" x14ac:dyDescent="0.25">
      <c r="B519" s="9" t="e">
        <f t="shared" si="82"/>
        <v>#N/A</v>
      </c>
      <c r="C519" s="10" t="e">
        <f t="shared" si="74"/>
        <v>#N/A</v>
      </c>
      <c r="D519" s="11" t="str">
        <f>IF(ISERROR(B519),"",bsolve($B519,$E$2,$E$4,$E$8,$E$9))</f>
        <v/>
      </c>
      <c r="E519" s="11" t="str">
        <f t="shared" si="75"/>
        <v/>
      </c>
      <c r="F519" s="11" t="str">
        <f t="shared" si="78"/>
        <v/>
      </c>
      <c r="G519" s="11" t="str">
        <f t="shared" si="79"/>
        <v/>
      </c>
      <c r="H519" s="19" t="str">
        <f t="shared" si="76"/>
        <v/>
      </c>
      <c r="I519" s="21">
        <f t="shared" si="80"/>
        <v>0</v>
      </c>
      <c r="J519" s="21" t="e">
        <f t="shared" si="77"/>
        <v>#N/A</v>
      </c>
      <c r="K519" s="21" t="str">
        <f t="shared" si="81"/>
        <v/>
      </c>
    </row>
    <row r="520" spans="2:11" x14ac:dyDescent="0.25">
      <c r="B520" s="9" t="e">
        <f t="shared" si="82"/>
        <v>#N/A</v>
      </c>
      <c r="C520" s="10" t="e">
        <f t="shared" si="74"/>
        <v>#N/A</v>
      </c>
      <c r="D520" s="11" t="str">
        <f>IF(ISERROR(B520),"",bsolve($B520,$E$2,$E$4,$E$8,$E$9))</f>
        <v/>
      </c>
      <c r="E520" s="11" t="str">
        <f t="shared" si="75"/>
        <v/>
      </c>
      <c r="F520" s="11" t="str">
        <f t="shared" si="78"/>
        <v/>
      </c>
      <c r="G520" s="11" t="str">
        <f t="shared" si="79"/>
        <v/>
      </c>
      <c r="H520" s="19" t="str">
        <f t="shared" si="76"/>
        <v/>
      </c>
      <c r="I520" s="21">
        <f t="shared" si="80"/>
        <v>0</v>
      </c>
      <c r="J520" s="21" t="e">
        <f t="shared" si="77"/>
        <v>#N/A</v>
      </c>
      <c r="K520" s="21" t="str">
        <f t="shared" si="81"/>
        <v/>
      </c>
    </row>
    <row r="521" spans="2:11" x14ac:dyDescent="0.25">
      <c r="B521" s="9" t="e">
        <f t="shared" si="82"/>
        <v>#N/A</v>
      </c>
      <c r="C521" s="10" t="e">
        <f t="shared" si="74"/>
        <v>#N/A</v>
      </c>
      <c r="D521" s="11" t="str">
        <f>IF(ISERROR(B521),"",bsolve($B521,$E$2,$E$4,$E$8,$E$9))</f>
        <v/>
      </c>
      <c r="E521" s="11" t="str">
        <f t="shared" si="75"/>
        <v/>
      </c>
      <c r="F521" s="11" t="str">
        <f t="shared" si="78"/>
        <v/>
      </c>
      <c r="G521" s="11" t="str">
        <f t="shared" si="79"/>
        <v/>
      </c>
      <c r="H521" s="19" t="str">
        <f t="shared" si="76"/>
        <v/>
      </c>
      <c r="I521" s="21">
        <f t="shared" si="80"/>
        <v>0</v>
      </c>
      <c r="J521" s="21" t="e">
        <f t="shared" si="77"/>
        <v>#N/A</v>
      </c>
      <c r="K521" s="21" t="str">
        <f t="shared" si="81"/>
        <v/>
      </c>
    </row>
    <row r="522" spans="2:11" x14ac:dyDescent="0.25">
      <c r="B522" s="9" t="e">
        <f t="shared" si="82"/>
        <v>#N/A</v>
      </c>
      <c r="C522" s="10" t="e">
        <f t="shared" si="74"/>
        <v>#N/A</v>
      </c>
      <c r="D522" s="11" t="str">
        <f>IF(ISERROR(B522),"",bsolve($B522,$E$2,$E$4,$E$8,$E$9))</f>
        <v/>
      </c>
      <c r="E522" s="11" t="str">
        <f t="shared" si="75"/>
        <v/>
      </c>
      <c r="F522" s="11" t="str">
        <f t="shared" si="78"/>
        <v/>
      </c>
      <c r="G522" s="11" t="str">
        <f t="shared" si="79"/>
        <v/>
      </c>
      <c r="H522" s="19" t="str">
        <f t="shared" si="76"/>
        <v/>
      </c>
      <c r="I522" s="21">
        <f t="shared" si="80"/>
        <v>0</v>
      </c>
      <c r="J522" s="21" t="e">
        <f t="shared" si="77"/>
        <v>#N/A</v>
      </c>
      <c r="K522" s="21" t="str">
        <f t="shared" si="81"/>
        <v/>
      </c>
    </row>
    <row r="523" spans="2:11" x14ac:dyDescent="0.25">
      <c r="B523" s="9" t="e">
        <f t="shared" si="82"/>
        <v>#N/A</v>
      </c>
      <c r="C523" s="10" t="e">
        <f t="shared" si="74"/>
        <v>#N/A</v>
      </c>
      <c r="D523" s="11" t="str">
        <f>IF(ISERROR(B523),"",bsolve($B523,$E$2,$E$4,$E$8,$E$9))</f>
        <v/>
      </c>
      <c r="E523" s="11" t="str">
        <f t="shared" si="75"/>
        <v/>
      </c>
      <c r="F523" s="11" t="str">
        <f t="shared" si="78"/>
        <v/>
      </c>
      <c r="G523" s="11" t="str">
        <f t="shared" si="79"/>
        <v/>
      </c>
      <c r="H523" s="19" t="str">
        <f t="shared" si="76"/>
        <v/>
      </c>
      <c r="I523" s="21">
        <f t="shared" si="80"/>
        <v>0</v>
      </c>
      <c r="J523" s="21" t="e">
        <f t="shared" si="77"/>
        <v>#N/A</v>
      </c>
      <c r="K523" s="21" t="str">
        <f t="shared" si="81"/>
        <v/>
      </c>
    </row>
    <row r="524" spans="2:11" x14ac:dyDescent="0.25">
      <c r="B524" s="9" t="e">
        <f t="shared" si="82"/>
        <v>#N/A</v>
      </c>
      <c r="C524" s="10" t="e">
        <f t="shared" si="74"/>
        <v>#N/A</v>
      </c>
      <c r="D524" s="11" t="str">
        <f>IF(ISERROR(B524),"",bsolve($B524,$E$2,$E$4,$E$8,$E$9))</f>
        <v/>
      </c>
      <c r="E524" s="11" t="str">
        <f t="shared" si="75"/>
        <v/>
      </c>
      <c r="F524" s="11" t="str">
        <f t="shared" si="78"/>
        <v/>
      </c>
      <c r="G524" s="11" t="str">
        <f t="shared" si="79"/>
        <v/>
      </c>
      <c r="H524" s="19" t="str">
        <f t="shared" si="76"/>
        <v/>
      </c>
      <c r="I524" s="21">
        <f t="shared" si="80"/>
        <v>0</v>
      </c>
      <c r="J524" s="21" t="e">
        <f t="shared" si="77"/>
        <v>#N/A</v>
      </c>
      <c r="K524" s="21" t="str">
        <f t="shared" si="81"/>
        <v/>
      </c>
    </row>
    <row r="525" spans="2:11" x14ac:dyDescent="0.25">
      <c r="B525" s="9" t="e">
        <f t="shared" si="82"/>
        <v>#N/A</v>
      </c>
      <c r="C525" s="10" t="e">
        <f t="shared" si="74"/>
        <v>#N/A</v>
      </c>
      <c r="D525" s="11" t="str">
        <f>IF(ISERROR(B525),"",bsolve($B525,$E$2,$E$4,$E$8,$E$9))</f>
        <v/>
      </c>
      <c r="E525" s="11" t="str">
        <f t="shared" si="75"/>
        <v/>
      </c>
      <c r="F525" s="11" t="str">
        <f t="shared" si="78"/>
        <v/>
      </c>
      <c r="G525" s="11" t="str">
        <f t="shared" si="79"/>
        <v/>
      </c>
      <c r="H525" s="19" t="str">
        <f t="shared" si="76"/>
        <v/>
      </c>
      <c r="I525" s="21">
        <f t="shared" si="80"/>
        <v>0</v>
      </c>
      <c r="J525" s="21" t="e">
        <f t="shared" si="77"/>
        <v>#N/A</v>
      </c>
      <c r="K525" s="21" t="str">
        <f t="shared" si="81"/>
        <v/>
      </c>
    </row>
    <row r="526" spans="2:11" x14ac:dyDescent="0.25">
      <c r="B526" s="9" t="e">
        <f t="shared" si="82"/>
        <v>#N/A</v>
      </c>
      <c r="C526" s="10" t="e">
        <f t="shared" si="74"/>
        <v>#N/A</v>
      </c>
      <c r="D526" s="11" t="str">
        <f>IF(ISERROR(B526),"",bsolve($B526,$E$2,$E$4,$E$8,$E$9))</f>
        <v/>
      </c>
      <c r="E526" s="11" t="str">
        <f t="shared" si="75"/>
        <v/>
      </c>
      <c r="F526" s="11" t="str">
        <f t="shared" si="78"/>
        <v/>
      </c>
      <c r="G526" s="11" t="str">
        <f t="shared" si="79"/>
        <v/>
      </c>
      <c r="H526" s="19" t="str">
        <f t="shared" si="76"/>
        <v/>
      </c>
      <c r="I526" s="21">
        <f t="shared" si="80"/>
        <v>0</v>
      </c>
      <c r="J526" s="21" t="e">
        <f t="shared" si="77"/>
        <v>#N/A</v>
      </c>
      <c r="K526" s="21" t="str">
        <f t="shared" si="81"/>
        <v/>
      </c>
    </row>
    <row r="527" spans="2:11" x14ac:dyDescent="0.25">
      <c r="B527" s="9" t="e">
        <f t="shared" si="82"/>
        <v>#N/A</v>
      </c>
      <c r="C527" s="10" t="e">
        <f t="shared" si="74"/>
        <v>#N/A</v>
      </c>
      <c r="D527" s="11" t="str">
        <f>IF(ISERROR(B527),"",bsolve($B527,$E$2,$E$4,$E$8,$E$9))</f>
        <v/>
      </c>
      <c r="E527" s="11" t="str">
        <f t="shared" si="75"/>
        <v/>
      </c>
      <c r="F527" s="11" t="str">
        <f t="shared" si="78"/>
        <v/>
      </c>
      <c r="G527" s="11" t="str">
        <f t="shared" si="79"/>
        <v/>
      </c>
      <c r="H527" s="19" t="str">
        <f t="shared" si="76"/>
        <v/>
      </c>
      <c r="I527" s="21">
        <f t="shared" si="80"/>
        <v>0</v>
      </c>
      <c r="J527" s="21" t="e">
        <f t="shared" si="77"/>
        <v>#N/A</v>
      </c>
      <c r="K527" s="21" t="str">
        <f t="shared" si="81"/>
        <v/>
      </c>
    </row>
    <row r="528" spans="2:11" x14ac:dyDescent="0.25">
      <c r="B528" s="9" t="e">
        <f t="shared" si="82"/>
        <v>#N/A</v>
      </c>
      <c r="C528" s="10" t="e">
        <f t="shared" si="74"/>
        <v>#N/A</v>
      </c>
      <c r="D528" s="11" t="str">
        <f>IF(ISERROR(B528),"",bsolve($B528,$E$2,$E$4,$E$8,$E$9))</f>
        <v/>
      </c>
      <c r="E528" s="11" t="str">
        <f t="shared" si="75"/>
        <v/>
      </c>
      <c r="F528" s="11" t="str">
        <f t="shared" si="78"/>
        <v/>
      </c>
      <c r="G528" s="11" t="str">
        <f t="shared" si="79"/>
        <v/>
      </c>
      <c r="H528" s="19" t="str">
        <f t="shared" si="76"/>
        <v/>
      </c>
      <c r="I528" s="21">
        <f t="shared" si="80"/>
        <v>0</v>
      </c>
      <c r="J528" s="21" t="e">
        <f t="shared" si="77"/>
        <v>#N/A</v>
      </c>
      <c r="K528" s="21" t="str">
        <f t="shared" si="81"/>
        <v/>
      </c>
    </row>
    <row r="529" spans="2:11" x14ac:dyDescent="0.25">
      <c r="B529" s="9" t="e">
        <f t="shared" si="82"/>
        <v>#N/A</v>
      </c>
      <c r="C529" s="10" t="e">
        <f t="shared" si="74"/>
        <v>#N/A</v>
      </c>
      <c r="D529" s="11" t="str">
        <f>IF(ISERROR(B529),"",bsolve($B529,$E$2,$E$4,$E$8,$E$9))</f>
        <v/>
      </c>
      <c r="E529" s="11" t="str">
        <f t="shared" si="75"/>
        <v/>
      </c>
      <c r="F529" s="11" t="str">
        <f t="shared" si="78"/>
        <v/>
      </c>
      <c r="G529" s="11" t="str">
        <f t="shared" si="79"/>
        <v/>
      </c>
      <c r="H529" s="19" t="str">
        <f t="shared" si="76"/>
        <v/>
      </c>
      <c r="I529" s="21">
        <f t="shared" si="80"/>
        <v>0</v>
      </c>
      <c r="J529" s="21" t="e">
        <f t="shared" si="77"/>
        <v>#N/A</v>
      </c>
      <c r="K529" s="21" t="str">
        <f t="shared" si="81"/>
        <v/>
      </c>
    </row>
    <row r="530" spans="2:11" x14ac:dyDescent="0.25">
      <c r="B530" s="9" t="e">
        <f t="shared" si="82"/>
        <v>#N/A</v>
      </c>
      <c r="C530" s="10" t="e">
        <f t="shared" ref="C530:C593" si="83">IF(B530="","",100*B530/$E$2)</f>
        <v>#N/A</v>
      </c>
      <c r="D530" s="11" t="str">
        <f>IF(ISERROR(B530),"",bsolve($B530,$E$2,$E$4,$E$8,$E$9))</f>
        <v/>
      </c>
      <c r="E530" s="11" t="str">
        <f t="shared" ref="E530:E593" si="84">IF(ISERROR(B530),"",IF(AND($E$7&lt;$E$5,C530&gt;=($E$5*100)),D530,0))</f>
        <v/>
      </c>
      <c r="F530" s="11" t="str">
        <f t="shared" si="78"/>
        <v/>
      </c>
      <c r="G530" s="11" t="str">
        <f t="shared" si="79"/>
        <v/>
      </c>
      <c r="H530" s="19" t="str">
        <f t="shared" ref="H530:H593" si="85">IF(ISERROR(B530),"",100*((B530*(1-$E$9))+($E$2-B530)*$E$8)/$E$2)</f>
        <v/>
      </c>
      <c r="I530" s="21">
        <f t="shared" si="80"/>
        <v>0</v>
      </c>
      <c r="J530" s="21" t="e">
        <f t="shared" ref="J530:J593" si="86">IF(ISERROR(B530),NA(),IF(AND(H530&gt;=$E$5*100,B530/$E$2&lt;$E$5),H530,NA()))</f>
        <v>#N/A</v>
      </c>
      <c r="K530" s="21" t="str">
        <f t="shared" si="81"/>
        <v/>
      </c>
    </row>
    <row r="531" spans="2:11" x14ac:dyDescent="0.25">
      <c r="B531" s="9" t="e">
        <f t="shared" si="82"/>
        <v>#N/A</v>
      </c>
      <c r="C531" s="10" t="e">
        <f t="shared" si="83"/>
        <v>#N/A</v>
      </c>
      <c r="D531" s="11" t="str">
        <f>IF(ISERROR(B531),"",bsolve($B531,$E$2,$E$4,$E$8,$E$9))</f>
        <v/>
      </c>
      <c r="E531" s="11" t="str">
        <f t="shared" si="84"/>
        <v/>
      </c>
      <c r="F531" s="11" t="str">
        <f t="shared" ref="F531:F594" si="87">IF(ISERROR(B531),"",IF(AND($E$7&gt;=$E$5,C531&lt;($E$5*100)),D531,0))</f>
        <v/>
      </c>
      <c r="G531" s="11" t="str">
        <f t="shared" ref="G531:G594" si="88">IF(ISERROR(B531),"",IF(C531&gt;=$E$5*100,D531,""))</f>
        <v/>
      </c>
      <c r="H531" s="19" t="str">
        <f t="shared" si="85"/>
        <v/>
      </c>
      <c r="I531" s="21">
        <f t="shared" ref="I531:I594" si="89">IF(NOT(ISERROR(J531)),B531,0)</f>
        <v>0</v>
      </c>
      <c r="J531" s="21" t="e">
        <f t="shared" si="86"/>
        <v>#N/A</v>
      </c>
      <c r="K531" s="21" t="str">
        <f t="shared" ref="K531:K594" si="90">IF(AND(I531=0,I532&gt;0),B531,"")</f>
        <v/>
      </c>
    </row>
    <row r="532" spans="2:11" x14ac:dyDescent="0.25">
      <c r="B532" s="9" t="e">
        <f t="shared" ref="B532:B595" si="91">IF(ROW()-18&lt;=$E$2,B531+1,NA())</f>
        <v>#N/A</v>
      </c>
      <c r="C532" s="10" t="e">
        <f t="shared" si="83"/>
        <v>#N/A</v>
      </c>
      <c r="D532" s="11" t="str">
        <f>IF(ISERROR(B532),"",bsolve($B532,$E$2,$E$4,$E$8,$E$9))</f>
        <v/>
      </c>
      <c r="E532" s="11" t="str">
        <f t="shared" si="84"/>
        <v/>
      </c>
      <c r="F532" s="11" t="str">
        <f t="shared" si="87"/>
        <v/>
      </c>
      <c r="G532" s="11" t="str">
        <f t="shared" si="88"/>
        <v/>
      </c>
      <c r="H532" s="19" t="str">
        <f t="shared" si="85"/>
        <v/>
      </c>
      <c r="I532" s="21">
        <f t="shared" si="89"/>
        <v>0</v>
      </c>
      <c r="J532" s="21" t="e">
        <f t="shared" si="86"/>
        <v>#N/A</v>
      </c>
      <c r="K532" s="21" t="str">
        <f t="shared" si="90"/>
        <v/>
      </c>
    </row>
    <row r="533" spans="2:11" x14ac:dyDescent="0.25">
      <c r="B533" s="9" t="e">
        <f t="shared" si="91"/>
        <v>#N/A</v>
      </c>
      <c r="C533" s="10" t="e">
        <f t="shared" si="83"/>
        <v>#N/A</v>
      </c>
      <c r="D533" s="11" t="str">
        <f>IF(ISERROR(B533),"",bsolve($B533,$E$2,$E$4,$E$8,$E$9))</f>
        <v/>
      </c>
      <c r="E533" s="11" t="str">
        <f t="shared" si="84"/>
        <v/>
      </c>
      <c r="F533" s="11" t="str">
        <f t="shared" si="87"/>
        <v/>
      </c>
      <c r="G533" s="11" t="str">
        <f t="shared" si="88"/>
        <v/>
      </c>
      <c r="H533" s="19" t="str">
        <f t="shared" si="85"/>
        <v/>
      </c>
      <c r="I533" s="21">
        <f t="shared" si="89"/>
        <v>0</v>
      </c>
      <c r="J533" s="21" t="e">
        <f t="shared" si="86"/>
        <v>#N/A</v>
      </c>
      <c r="K533" s="21" t="str">
        <f t="shared" si="90"/>
        <v/>
      </c>
    </row>
    <row r="534" spans="2:11" x14ac:dyDescent="0.25">
      <c r="B534" s="9" t="e">
        <f t="shared" si="91"/>
        <v>#N/A</v>
      </c>
      <c r="C534" s="10" t="e">
        <f t="shared" si="83"/>
        <v>#N/A</v>
      </c>
      <c r="D534" s="11" t="str">
        <f>IF(ISERROR(B534),"",bsolve($B534,$E$2,$E$4,$E$8,$E$9))</f>
        <v/>
      </c>
      <c r="E534" s="11" t="str">
        <f t="shared" si="84"/>
        <v/>
      </c>
      <c r="F534" s="11" t="str">
        <f t="shared" si="87"/>
        <v/>
      </c>
      <c r="G534" s="11" t="str">
        <f t="shared" si="88"/>
        <v/>
      </c>
      <c r="H534" s="19" t="str">
        <f t="shared" si="85"/>
        <v/>
      </c>
      <c r="I534" s="21">
        <f t="shared" si="89"/>
        <v>0</v>
      </c>
      <c r="J534" s="21" t="e">
        <f t="shared" si="86"/>
        <v>#N/A</v>
      </c>
      <c r="K534" s="21" t="str">
        <f t="shared" si="90"/>
        <v/>
      </c>
    </row>
    <row r="535" spans="2:11" x14ac:dyDescent="0.25">
      <c r="B535" s="9" t="e">
        <f t="shared" si="91"/>
        <v>#N/A</v>
      </c>
      <c r="C535" s="10" t="e">
        <f t="shared" si="83"/>
        <v>#N/A</v>
      </c>
      <c r="D535" s="11" t="str">
        <f>IF(ISERROR(B535),"",bsolve($B535,$E$2,$E$4,$E$8,$E$9))</f>
        <v/>
      </c>
      <c r="E535" s="11" t="str">
        <f t="shared" si="84"/>
        <v/>
      </c>
      <c r="F535" s="11" t="str">
        <f t="shared" si="87"/>
        <v/>
      </c>
      <c r="G535" s="11" t="str">
        <f t="shared" si="88"/>
        <v/>
      </c>
      <c r="H535" s="19" t="str">
        <f t="shared" si="85"/>
        <v/>
      </c>
      <c r="I535" s="21">
        <f t="shared" si="89"/>
        <v>0</v>
      </c>
      <c r="J535" s="21" t="e">
        <f t="shared" si="86"/>
        <v>#N/A</v>
      </c>
      <c r="K535" s="21" t="str">
        <f t="shared" si="90"/>
        <v/>
      </c>
    </row>
    <row r="536" spans="2:11" x14ac:dyDescent="0.25">
      <c r="B536" s="9" t="e">
        <f t="shared" si="91"/>
        <v>#N/A</v>
      </c>
      <c r="C536" s="10" t="e">
        <f t="shared" si="83"/>
        <v>#N/A</v>
      </c>
      <c r="D536" s="11" t="str">
        <f>IF(ISERROR(B536),"",bsolve($B536,$E$2,$E$4,$E$8,$E$9))</f>
        <v/>
      </c>
      <c r="E536" s="11" t="str">
        <f t="shared" si="84"/>
        <v/>
      </c>
      <c r="F536" s="11" t="str">
        <f t="shared" si="87"/>
        <v/>
      </c>
      <c r="G536" s="11" t="str">
        <f t="shared" si="88"/>
        <v/>
      </c>
      <c r="H536" s="19" t="str">
        <f t="shared" si="85"/>
        <v/>
      </c>
      <c r="I536" s="21">
        <f t="shared" si="89"/>
        <v>0</v>
      </c>
      <c r="J536" s="21" t="e">
        <f t="shared" si="86"/>
        <v>#N/A</v>
      </c>
      <c r="K536" s="21" t="str">
        <f t="shared" si="90"/>
        <v/>
      </c>
    </row>
    <row r="537" spans="2:11" x14ac:dyDescent="0.25">
      <c r="B537" s="9" t="e">
        <f t="shared" si="91"/>
        <v>#N/A</v>
      </c>
      <c r="C537" s="10" t="e">
        <f t="shared" si="83"/>
        <v>#N/A</v>
      </c>
      <c r="D537" s="11" t="str">
        <f>IF(ISERROR(B537),"",bsolve($B537,$E$2,$E$4,$E$8,$E$9))</f>
        <v/>
      </c>
      <c r="E537" s="11" t="str">
        <f t="shared" si="84"/>
        <v/>
      </c>
      <c r="F537" s="11" t="str">
        <f t="shared" si="87"/>
        <v/>
      </c>
      <c r="G537" s="11" t="str">
        <f t="shared" si="88"/>
        <v/>
      </c>
      <c r="H537" s="19" t="str">
        <f t="shared" si="85"/>
        <v/>
      </c>
      <c r="I537" s="21">
        <f t="shared" si="89"/>
        <v>0</v>
      </c>
      <c r="J537" s="21" t="e">
        <f t="shared" si="86"/>
        <v>#N/A</v>
      </c>
      <c r="K537" s="21" t="str">
        <f t="shared" si="90"/>
        <v/>
      </c>
    </row>
    <row r="538" spans="2:11" x14ac:dyDescent="0.25">
      <c r="B538" s="9" t="e">
        <f t="shared" si="91"/>
        <v>#N/A</v>
      </c>
      <c r="C538" s="10" t="e">
        <f t="shared" si="83"/>
        <v>#N/A</v>
      </c>
      <c r="D538" s="11" t="str">
        <f>IF(ISERROR(B538),"",bsolve($B538,$E$2,$E$4,$E$8,$E$9))</f>
        <v/>
      </c>
      <c r="E538" s="11" t="str">
        <f t="shared" si="84"/>
        <v/>
      </c>
      <c r="F538" s="11" t="str">
        <f t="shared" si="87"/>
        <v/>
      </c>
      <c r="G538" s="11" t="str">
        <f t="shared" si="88"/>
        <v/>
      </c>
      <c r="H538" s="19" t="str">
        <f t="shared" si="85"/>
        <v/>
      </c>
      <c r="I538" s="21">
        <f t="shared" si="89"/>
        <v>0</v>
      </c>
      <c r="J538" s="21" t="e">
        <f t="shared" si="86"/>
        <v>#N/A</v>
      </c>
      <c r="K538" s="21" t="str">
        <f t="shared" si="90"/>
        <v/>
      </c>
    </row>
    <row r="539" spans="2:11" x14ac:dyDescent="0.25">
      <c r="B539" s="9" t="e">
        <f t="shared" si="91"/>
        <v>#N/A</v>
      </c>
      <c r="C539" s="10" t="e">
        <f t="shared" si="83"/>
        <v>#N/A</v>
      </c>
      <c r="D539" s="11" t="str">
        <f>IF(ISERROR(B539),"",bsolve($B539,$E$2,$E$4,$E$8,$E$9))</f>
        <v/>
      </c>
      <c r="E539" s="11" t="str">
        <f t="shared" si="84"/>
        <v/>
      </c>
      <c r="F539" s="11" t="str">
        <f t="shared" si="87"/>
        <v/>
      </c>
      <c r="G539" s="11" t="str">
        <f t="shared" si="88"/>
        <v/>
      </c>
      <c r="H539" s="19" t="str">
        <f t="shared" si="85"/>
        <v/>
      </c>
      <c r="I539" s="21">
        <f t="shared" si="89"/>
        <v>0</v>
      </c>
      <c r="J539" s="21" t="e">
        <f t="shared" si="86"/>
        <v>#N/A</v>
      </c>
      <c r="K539" s="21" t="str">
        <f t="shared" si="90"/>
        <v/>
      </c>
    </row>
    <row r="540" spans="2:11" x14ac:dyDescent="0.25">
      <c r="B540" s="9" t="e">
        <f t="shared" si="91"/>
        <v>#N/A</v>
      </c>
      <c r="C540" s="10" t="e">
        <f t="shared" si="83"/>
        <v>#N/A</v>
      </c>
      <c r="D540" s="11" t="str">
        <f>IF(ISERROR(B540),"",bsolve($B540,$E$2,$E$4,$E$8,$E$9))</f>
        <v/>
      </c>
      <c r="E540" s="11" t="str">
        <f t="shared" si="84"/>
        <v/>
      </c>
      <c r="F540" s="11" t="str">
        <f t="shared" si="87"/>
        <v/>
      </c>
      <c r="G540" s="11" t="str">
        <f t="shared" si="88"/>
        <v/>
      </c>
      <c r="H540" s="19" t="str">
        <f t="shared" si="85"/>
        <v/>
      </c>
      <c r="I540" s="21">
        <f t="shared" si="89"/>
        <v>0</v>
      </c>
      <c r="J540" s="21" t="e">
        <f t="shared" si="86"/>
        <v>#N/A</v>
      </c>
      <c r="K540" s="21" t="str">
        <f t="shared" si="90"/>
        <v/>
      </c>
    </row>
    <row r="541" spans="2:11" x14ac:dyDescent="0.25">
      <c r="B541" s="9" t="e">
        <f t="shared" si="91"/>
        <v>#N/A</v>
      </c>
      <c r="C541" s="10" t="e">
        <f t="shared" si="83"/>
        <v>#N/A</v>
      </c>
      <c r="D541" s="11" t="str">
        <f>IF(ISERROR(B541),"",bsolve($B541,$E$2,$E$4,$E$8,$E$9))</f>
        <v/>
      </c>
      <c r="E541" s="11" t="str">
        <f t="shared" si="84"/>
        <v/>
      </c>
      <c r="F541" s="11" t="str">
        <f t="shared" si="87"/>
        <v/>
      </c>
      <c r="G541" s="11" t="str">
        <f t="shared" si="88"/>
        <v/>
      </c>
      <c r="H541" s="19" t="str">
        <f t="shared" si="85"/>
        <v/>
      </c>
      <c r="I541" s="21">
        <f t="shared" si="89"/>
        <v>0</v>
      </c>
      <c r="J541" s="21" t="e">
        <f t="shared" si="86"/>
        <v>#N/A</v>
      </c>
      <c r="K541" s="21" t="str">
        <f t="shared" si="90"/>
        <v/>
      </c>
    </row>
    <row r="542" spans="2:11" x14ac:dyDescent="0.25">
      <c r="B542" s="9" t="e">
        <f t="shared" si="91"/>
        <v>#N/A</v>
      </c>
      <c r="C542" s="10" t="e">
        <f t="shared" si="83"/>
        <v>#N/A</v>
      </c>
      <c r="D542" s="11" t="str">
        <f>IF(ISERROR(B542),"",bsolve($B542,$E$2,$E$4,$E$8,$E$9))</f>
        <v/>
      </c>
      <c r="E542" s="11" t="str">
        <f t="shared" si="84"/>
        <v/>
      </c>
      <c r="F542" s="11" t="str">
        <f t="shared" si="87"/>
        <v/>
      </c>
      <c r="G542" s="11" t="str">
        <f t="shared" si="88"/>
        <v/>
      </c>
      <c r="H542" s="19" t="str">
        <f t="shared" si="85"/>
        <v/>
      </c>
      <c r="I542" s="21">
        <f t="shared" si="89"/>
        <v>0</v>
      </c>
      <c r="J542" s="21" t="e">
        <f t="shared" si="86"/>
        <v>#N/A</v>
      </c>
      <c r="K542" s="21" t="str">
        <f t="shared" si="90"/>
        <v/>
      </c>
    </row>
    <row r="543" spans="2:11" x14ac:dyDescent="0.25">
      <c r="B543" s="9" t="e">
        <f t="shared" si="91"/>
        <v>#N/A</v>
      </c>
      <c r="C543" s="10" t="e">
        <f t="shared" si="83"/>
        <v>#N/A</v>
      </c>
      <c r="D543" s="11" t="str">
        <f>IF(ISERROR(B543),"",bsolve($B543,$E$2,$E$4,$E$8,$E$9))</f>
        <v/>
      </c>
      <c r="E543" s="11" t="str">
        <f t="shared" si="84"/>
        <v/>
      </c>
      <c r="F543" s="11" t="str">
        <f t="shared" si="87"/>
        <v/>
      </c>
      <c r="G543" s="11" t="str">
        <f t="shared" si="88"/>
        <v/>
      </c>
      <c r="H543" s="19" t="str">
        <f t="shared" si="85"/>
        <v/>
      </c>
      <c r="I543" s="21">
        <f t="shared" si="89"/>
        <v>0</v>
      </c>
      <c r="J543" s="21" t="e">
        <f t="shared" si="86"/>
        <v>#N/A</v>
      </c>
      <c r="K543" s="21" t="str">
        <f t="shared" si="90"/>
        <v/>
      </c>
    </row>
    <row r="544" spans="2:11" x14ac:dyDescent="0.25">
      <c r="B544" s="9" t="e">
        <f t="shared" si="91"/>
        <v>#N/A</v>
      </c>
      <c r="C544" s="10" t="e">
        <f t="shared" si="83"/>
        <v>#N/A</v>
      </c>
      <c r="D544" s="11" t="str">
        <f>IF(ISERROR(B544),"",bsolve($B544,$E$2,$E$4,$E$8,$E$9))</f>
        <v/>
      </c>
      <c r="E544" s="11" t="str">
        <f t="shared" si="84"/>
        <v/>
      </c>
      <c r="F544" s="11" t="str">
        <f t="shared" si="87"/>
        <v/>
      </c>
      <c r="G544" s="11" t="str">
        <f t="shared" si="88"/>
        <v/>
      </c>
      <c r="H544" s="19" t="str">
        <f t="shared" si="85"/>
        <v/>
      </c>
      <c r="I544" s="21">
        <f t="shared" si="89"/>
        <v>0</v>
      </c>
      <c r="J544" s="21" t="e">
        <f t="shared" si="86"/>
        <v>#N/A</v>
      </c>
      <c r="K544" s="21" t="str">
        <f t="shared" si="90"/>
        <v/>
      </c>
    </row>
    <row r="545" spans="2:11" x14ac:dyDescent="0.25">
      <c r="B545" s="9" t="e">
        <f t="shared" si="91"/>
        <v>#N/A</v>
      </c>
      <c r="C545" s="10" t="e">
        <f t="shared" si="83"/>
        <v>#N/A</v>
      </c>
      <c r="D545" s="11" t="str">
        <f>IF(ISERROR(B545),"",bsolve($B545,$E$2,$E$4,$E$8,$E$9))</f>
        <v/>
      </c>
      <c r="E545" s="11" t="str">
        <f t="shared" si="84"/>
        <v/>
      </c>
      <c r="F545" s="11" t="str">
        <f t="shared" si="87"/>
        <v/>
      </c>
      <c r="G545" s="11" t="str">
        <f t="shared" si="88"/>
        <v/>
      </c>
      <c r="H545" s="19" t="str">
        <f t="shared" si="85"/>
        <v/>
      </c>
      <c r="I545" s="21">
        <f t="shared" si="89"/>
        <v>0</v>
      </c>
      <c r="J545" s="21" t="e">
        <f t="shared" si="86"/>
        <v>#N/A</v>
      </c>
      <c r="K545" s="21" t="str">
        <f t="shared" si="90"/>
        <v/>
      </c>
    </row>
    <row r="546" spans="2:11" x14ac:dyDescent="0.25">
      <c r="B546" s="9" t="e">
        <f t="shared" si="91"/>
        <v>#N/A</v>
      </c>
      <c r="C546" s="10" t="e">
        <f t="shared" si="83"/>
        <v>#N/A</v>
      </c>
      <c r="D546" s="11" t="str">
        <f>IF(ISERROR(B546),"",bsolve($B546,$E$2,$E$4,$E$8,$E$9))</f>
        <v/>
      </c>
      <c r="E546" s="11" t="str">
        <f t="shared" si="84"/>
        <v/>
      </c>
      <c r="F546" s="11" t="str">
        <f t="shared" si="87"/>
        <v/>
      </c>
      <c r="G546" s="11" t="str">
        <f t="shared" si="88"/>
        <v/>
      </c>
      <c r="H546" s="19" t="str">
        <f t="shared" si="85"/>
        <v/>
      </c>
      <c r="I546" s="21">
        <f t="shared" si="89"/>
        <v>0</v>
      </c>
      <c r="J546" s="21" t="e">
        <f t="shared" si="86"/>
        <v>#N/A</v>
      </c>
      <c r="K546" s="21" t="str">
        <f t="shared" si="90"/>
        <v/>
      </c>
    </row>
    <row r="547" spans="2:11" x14ac:dyDescent="0.25">
      <c r="B547" s="9" t="e">
        <f t="shared" si="91"/>
        <v>#N/A</v>
      </c>
      <c r="C547" s="10" t="e">
        <f t="shared" si="83"/>
        <v>#N/A</v>
      </c>
      <c r="D547" s="11" t="str">
        <f>IF(ISERROR(B547),"",bsolve($B547,$E$2,$E$4,$E$8,$E$9))</f>
        <v/>
      </c>
      <c r="E547" s="11" t="str">
        <f t="shared" si="84"/>
        <v/>
      </c>
      <c r="F547" s="11" t="str">
        <f t="shared" si="87"/>
        <v/>
      </c>
      <c r="G547" s="11" t="str">
        <f t="shared" si="88"/>
        <v/>
      </c>
      <c r="H547" s="19" t="str">
        <f t="shared" si="85"/>
        <v/>
      </c>
      <c r="I547" s="21">
        <f t="shared" si="89"/>
        <v>0</v>
      </c>
      <c r="J547" s="21" t="e">
        <f t="shared" si="86"/>
        <v>#N/A</v>
      </c>
      <c r="K547" s="21" t="str">
        <f t="shared" si="90"/>
        <v/>
      </c>
    </row>
    <row r="548" spans="2:11" x14ac:dyDescent="0.25">
      <c r="B548" s="9" t="e">
        <f t="shared" si="91"/>
        <v>#N/A</v>
      </c>
      <c r="C548" s="10" t="e">
        <f t="shared" si="83"/>
        <v>#N/A</v>
      </c>
      <c r="D548" s="11" t="str">
        <f>IF(ISERROR(B548),"",bsolve($B548,$E$2,$E$4,$E$8,$E$9))</f>
        <v/>
      </c>
      <c r="E548" s="11" t="str">
        <f t="shared" si="84"/>
        <v/>
      </c>
      <c r="F548" s="11" t="str">
        <f t="shared" si="87"/>
        <v/>
      </c>
      <c r="G548" s="11" t="str">
        <f t="shared" si="88"/>
        <v/>
      </c>
      <c r="H548" s="19" t="str">
        <f t="shared" si="85"/>
        <v/>
      </c>
      <c r="I548" s="21">
        <f t="shared" si="89"/>
        <v>0</v>
      </c>
      <c r="J548" s="21" t="e">
        <f t="shared" si="86"/>
        <v>#N/A</v>
      </c>
      <c r="K548" s="21" t="str">
        <f t="shared" si="90"/>
        <v/>
      </c>
    </row>
    <row r="549" spans="2:11" x14ac:dyDescent="0.25">
      <c r="B549" s="9" t="e">
        <f t="shared" si="91"/>
        <v>#N/A</v>
      </c>
      <c r="C549" s="10" t="e">
        <f t="shared" si="83"/>
        <v>#N/A</v>
      </c>
      <c r="D549" s="11" t="str">
        <f>IF(ISERROR(B549),"",bsolve($B549,$E$2,$E$4,$E$8,$E$9))</f>
        <v/>
      </c>
      <c r="E549" s="11" t="str">
        <f t="shared" si="84"/>
        <v/>
      </c>
      <c r="F549" s="11" t="str">
        <f t="shared" si="87"/>
        <v/>
      </c>
      <c r="G549" s="11" t="str">
        <f t="shared" si="88"/>
        <v/>
      </c>
      <c r="H549" s="19" t="str">
        <f t="shared" si="85"/>
        <v/>
      </c>
      <c r="I549" s="21">
        <f t="shared" si="89"/>
        <v>0</v>
      </c>
      <c r="J549" s="21" t="e">
        <f t="shared" si="86"/>
        <v>#N/A</v>
      </c>
      <c r="K549" s="21" t="str">
        <f t="shared" si="90"/>
        <v/>
      </c>
    </row>
    <row r="550" spans="2:11" x14ac:dyDescent="0.25">
      <c r="B550" s="9" t="e">
        <f t="shared" si="91"/>
        <v>#N/A</v>
      </c>
      <c r="C550" s="10" t="e">
        <f t="shared" si="83"/>
        <v>#N/A</v>
      </c>
      <c r="D550" s="11" t="str">
        <f>IF(ISERROR(B550),"",bsolve($B550,$E$2,$E$4,$E$8,$E$9))</f>
        <v/>
      </c>
      <c r="E550" s="11" t="str">
        <f t="shared" si="84"/>
        <v/>
      </c>
      <c r="F550" s="11" t="str">
        <f t="shared" si="87"/>
        <v/>
      </c>
      <c r="G550" s="11" t="str">
        <f t="shared" si="88"/>
        <v/>
      </c>
      <c r="H550" s="19" t="str">
        <f t="shared" si="85"/>
        <v/>
      </c>
      <c r="I550" s="21">
        <f t="shared" si="89"/>
        <v>0</v>
      </c>
      <c r="J550" s="21" t="e">
        <f t="shared" si="86"/>
        <v>#N/A</v>
      </c>
      <c r="K550" s="21" t="str">
        <f t="shared" si="90"/>
        <v/>
      </c>
    </row>
    <row r="551" spans="2:11" x14ac:dyDescent="0.25">
      <c r="B551" s="9" t="e">
        <f t="shared" si="91"/>
        <v>#N/A</v>
      </c>
      <c r="C551" s="10" t="e">
        <f t="shared" si="83"/>
        <v>#N/A</v>
      </c>
      <c r="D551" s="11" t="str">
        <f>IF(ISERROR(B551),"",bsolve($B551,$E$2,$E$4,$E$8,$E$9))</f>
        <v/>
      </c>
      <c r="E551" s="11" t="str">
        <f t="shared" si="84"/>
        <v/>
      </c>
      <c r="F551" s="11" t="str">
        <f t="shared" si="87"/>
        <v/>
      </c>
      <c r="G551" s="11" t="str">
        <f t="shared" si="88"/>
        <v/>
      </c>
      <c r="H551" s="19" t="str">
        <f t="shared" si="85"/>
        <v/>
      </c>
      <c r="I551" s="21">
        <f t="shared" si="89"/>
        <v>0</v>
      </c>
      <c r="J551" s="21" t="e">
        <f t="shared" si="86"/>
        <v>#N/A</v>
      </c>
      <c r="K551" s="21" t="str">
        <f t="shared" si="90"/>
        <v/>
      </c>
    </row>
    <row r="552" spans="2:11" x14ac:dyDescent="0.25">
      <c r="B552" s="9" t="e">
        <f t="shared" si="91"/>
        <v>#N/A</v>
      </c>
      <c r="C552" s="10" t="e">
        <f t="shared" si="83"/>
        <v>#N/A</v>
      </c>
      <c r="D552" s="11" t="str">
        <f>IF(ISERROR(B552),"",bsolve($B552,$E$2,$E$4,$E$8,$E$9))</f>
        <v/>
      </c>
      <c r="E552" s="11" t="str">
        <f t="shared" si="84"/>
        <v/>
      </c>
      <c r="F552" s="11" t="str">
        <f t="shared" si="87"/>
        <v/>
      </c>
      <c r="G552" s="11" t="str">
        <f t="shared" si="88"/>
        <v/>
      </c>
      <c r="H552" s="19" t="str">
        <f t="shared" si="85"/>
        <v/>
      </c>
      <c r="I552" s="21">
        <f t="shared" si="89"/>
        <v>0</v>
      </c>
      <c r="J552" s="21" t="e">
        <f t="shared" si="86"/>
        <v>#N/A</v>
      </c>
      <c r="K552" s="21" t="str">
        <f t="shared" si="90"/>
        <v/>
      </c>
    </row>
    <row r="553" spans="2:11" x14ac:dyDescent="0.25">
      <c r="B553" s="9" t="e">
        <f t="shared" si="91"/>
        <v>#N/A</v>
      </c>
      <c r="C553" s="10" t="e">
        <f t="shared" si="83"/>
        <v>#N/A</v>
      </c>
      <c r="D553" s="11" t="str">
        <f>IF(ISERROR(B553),"",bsolve($B553,$E$2,$E$4,$E$8,$E$9))</f>
        <v/>
      </c>
      <c r="E553" s="11" t="str">
        <f t="shared" si="84"/>
        <v/>
      </c>
      <c r="F553" s="11" t="str">
        <f t="shared" si="87"/>
        <v/>
      </c>
      <c r="G553" s="11" t="str">
        <f t="shared" si="88"/>
        <v/>
      </c>
      <c r="H553" s="19" t="str">
        <f t="shared" si="85"/>
        <v/>
      </c>
      <c r="I553" s="21">
        <f t="shared" si="89"/>
        <v>0</v>
      </c>
      <c r="J553" s="21" t="e">
        <f t="shared" si="86"/>
        <v>#N/A</v>
      </c>
      <c r="K553" s="21" t="str">
        <f t="shared" si="90"/>
        <v/>
      </c>
    </row>
    <row r="554" spans="2:11" x14ac:dyDescent="0.25">
      <c r="B554" s="9" t="e">
        <f t="shared" si="91"/>
        <v>#N/A</v>
      </c>
      <c r="C554" s="10" t="e">
        <f t="shared" si="83"/>
        <v>#N/A</v>
      </c>
      <c r="D554" s="11" t="str">
        <f>IF(ISERROR(B554),"",bsolve($B554,$E$2,$E$4,$E$8,$E$9))</f>
        <v/>
      </c>
      <c r="E554" s="11" t="str">
        <f t="shared" si="84"/>
        <v/>
      </c>
      <c r="F554" s="11" t="str">
        <f t="shared" si="87"/>
        <v/>
      </c>
      <c r="G554" s="11" t="str">
        <f t="shared" si="88"/>
        <v/>
      </c>
      <c r="H554" s="19" t="str">
        <f t="shared" si="85"/>
        <v/>
      </c>
      <c r="I554" s="21">
        <f t="shared" si="89"/>
        <v>0</v>
      </c>
      <c r="J554" s="21" t="e">
        <f t="shared" si="86"/>
        <v>#N/A</v>
      </c>
      <c r="K554" s="21" t="str">
        <f t="shared" si="90"/>
        <v/>
      </c>
    </row>
    <row r="555" spans="2:11" x14ac:dyDescent="0.25">
      <c r="B555" s="9" t="e">
        <f t="shared" si="91"/>
        <v>#N/A</v>
      </c>
      <c r="C555" s="10" t="e">
        <f t="shared" si="83"/>
        <v>#N/A</v>
      </c>
      <c r="D555" s="11" t="str">
        <f>IF(ISERROR(B555),"",bsolve($B555,$E$2,$E$4,$E$8,$E$9))</f>
        <v/>
      </c>
      <c r="E555" s="11" t="str">
        <f t="shared" si="84"/>
        <v/>
      </c>
      <c r="F555" s="11" t="str">
        <f t="shared" si="87"/>
        <v/>
      </c>
      <c r="G555" s="11" t="str">
        <f t="shared" si="88"/>
        <v/>
      </c>
      <c r="H555" s="19" t="str">
        <f t="shared" si="85"/>
        <v/>
      </c>
      <c r="I555" s="21">
        <f t="shared" si="89"/>
        <v>0</v>
      </c>
      <c r="J555" s="21" t="e">
        <f t="shared" si="86"/>
        <v>#N/A</v>
      </c>
      <c r="K555" s="21" t="str">
        <f t="shared" si="90"/>
        <v/>
      </c>
    </row>
    <row r="556" spans="2:11" x14ac:dyDescent="0.25">
      <c r="B556" s="9" t="e">
        <f t="shared" si="91"/>
        <v>#N/A</v>
      </c>
      <c r="C556" s="10" t="e">
        <f t="shared" si="83"/>
        <v>#N/A</v>
      </c>
      <c r="D556" s="11" t="str">
        <f>IF(ISERROR(B556),"",bsolve($B556,$E$2,$E$4,$E$8,$E$9))</f>
        <v/>
      </c>
      <c r="E556" s="11" t="str">
        <f t="shared" si="84"/>
        <v/>
      </c>
      <c r="F556" s="11" t="str">
        <f t="shared" si="87"/>
        <v/>
      </c>
      <c r="G556" s="11" t="str">
        <f t="shared" si="88"/>
        <v/>
      </c>
      <c r="H556" s="19" t="str">
        <f t="shared" si="85"/>
        <v/>
      </c>
      <c r="I556" s="21">
        <f t="shared" si="89"/>
        <v>0</v>
      </c>
      <c r="J556" s="21" t="e">
        <f t="shared" si="86"/>
        <v>#N/A</v>
      </c>
      <c r="K556" s="21" t="str">
        <f t="shared" si="90"/>
        <v/>
      </c>
    </row>
    <row r="557" spans="2:11" x14ac:dyDescent="0.25">
      <c r="B557" s="9" t="e">
        <f t="shared" si="91"/>
        <v>#N/A</v>
      </c>
      <c r="C557" s="10" t="e">
        <f t="shared" si="83"/>
        <v>#N/A</v>
      </c>
      <c r="D557" s="11" t="str">
        <f>IF(ISERROR(B557),"",bsolve($B557,$E$2,$E$4,$E$8,$E$9))</f>
        <v/>
      </c>
      <c r="E557" s="11" t="str">
        <f t="shared" si="84"/>
        <v/>
      </c>
      <c r="F557" s="11" t="str">
        <f t="shared" si="87"/>
        <v/>
      </c>
      <c r="G557" s="11" t="str">
        <f t="shared" si="88"/>
        <v/>
      </c>
      <c r="H557" s="19" t="str">
        <f t="shared" si="85"/>
        <v/>
      </c>
      <c r="I557" s="21">
        <f t="shared" si="89"/>
        <v>0</v>
      </c>
      <c r="J557" s="21" t="e">
        <f t="shared" si="86"/>
        <v>#N/A</v>
      </c>
      <c r="K557" s="21" t="str">
        <f t="shared" si="90"/>
        <v/>
      </c>
    </row>
    <row r="558" spans="2:11" x14ac:dyDescent="0.25">
      <c r="B558" s="9" t="e">
        <f t="shared" si="91"/>
        <v>#N/A</v>
      </c>
      <c r="C558" s="10" t="e">
        <f t="shared" si="83"/>
        <v>#N/A</v>
      </c>
      <c r="D558" s="11" t="str">
        <f>IF(ISERROR(B558),"",bsolve($B558,$E$2,$E$4,$E$8,$E$9))</f>
        <v/>
      </c>
      <c r="E558" s="11" t="str">
        <f t="shared" si="84"/>
        <v/>
      </c>
      <c r="F558" s="11" t="str">
        <f t="shared" si="87"/>
        <v/>
      </c>
      <c r="G558" s="11" t="str">
        <f t="shared" si="88"/>
        <v/>
      </c>
      <c r="H558" s="19" t="str">
        <f t="shared" si="85"/>
        <v/>
      </c>
      <c r="I558" s="21">
        <f t="shared" si="89"/>
        <v>0</v>
      </c>
      <c r="J558" s="21" t="e">
        <f t="shared" si="86"/>
        <v>#N/A</v>
      </c>
      <c r="K558" s="21" t="str">
        <f t="shared" si="90"/>
        <v/>
      </c>
    </row>
    <row r="559" spans="2:11" x14ac:dyDescent="0.25">
      <c r="B559" s="9" t="e">
        <f t="shared" si="91"/>
        <v>#N/A</v>
      </c>
      <c r="C559" s="10" t="e">
        <f t="shared" si="83"/>
        <v>#N/A</v>
      </c>
      <c r="D559" s="11" t="str">
        <f>IF(ISERROR(B559),"",bsolve($B559,$E$2,$E$4,$E$8,$E$9))</f>
        <v/>
      </c>
      <c r="E559" s="11" t="str">
        <f t="shared" si="84"/>
        <v/>
      </c>
      <c r="F559" s="11" t="str">
        <f t="shared" si="87"/>
        <v/>
      </c>
      <c r="G559" s="11" t="str">
        <f t="shared" si="88"/>
        <v/>
      </c>
      <c r="H559" s="19" t="str">
        <f t="shared" si="85"/>
        <v/>
      </c>
      <c r="I559" s="21">
        <f t="shared" si="89"/>
        <v>0</v>
      </c>
      <c r="J559" s="21" t="e">
        <f t="shared" si="86"/>
        <v>#N/A</v>
      </c>
      <c r="K559" s="21" t="str">
        <f t="shared" si="90"/>
        <v/>
      </c>
    </row>
    <row r="560" spans="2:11" x14ac:dyDescent="0.25">
      <c r="B560" s="9" t="e">
        <f t="shared" si="91"/>
        <v>#N/A</v>
      </c>
      <c r="C560" s="10" t="e">
        <f t="shared" si="83"/>
        <v>#N/A</v>
      </c>
      <c r="D560" s="11" t="str">
        <f>IF(ISERROR(B560),"",bsolve($B560,$E$2,$E$4,$E$8,$E$9))</f>
        <v/>
      </c>
      <c r="E560" s="11" t="str">
        <f t="shared" si="84"/>
        <v/>
      </c>
      <c r="F560" s="11" t="str">
        <f t="shared" si="87"/>
        <v/>
      </c>
      <c r="G560" s="11" t="str">
        <f t="shared" si="88"/>
        <v/>
      </c>
      <c r="H560" s="19" t="str">
        <f t="shared" si="85"/>
        <v/>
      </c>
      <c r="I560" s="21">
        <f t="shared" si="89"/>
        <v>0</v>
      </c>
      <c r="J560" s="21" t="e">
        <f t="shared" si="86"/>
        <v>#N/A</v>
      </c>
      <c r="K560" s="21" t="str">
        <f t="shared" si="90"/>
        <v/>
      </c>
    </row>
    <row r="561" spans="2:11" x14ac:dyDescent="0.25">
      <c r="B561" s="9" t="e">
        <f t="shared" si="91"/>
        <v>#N/A</v>
      </c>
      <c r="C561" s="10" t="e">
        <f t="shared" si="83"/>
        <v>#N/A</v>
      </c>
      <c r="D561" s="11" t="str">
        <f>IF(ISERROR(B561),"",bsolve($B561,$E$2,$E$4,$E$8,$E$9))</f>
        <v/>
      </c>
      <c r="E561" s="11" t="str">
        <f t="shared" si="84"/>
        <v/>
      </c>
      <c r="F561" s="11" t="str">
        <f t="shared" si="87"/>
        <v/>
      </c>
      <c r="G561" s="11" t="str">
        <f t="shared" si="88"/>
        <v/>
      </c>
      <c r="H561" s="19" t="str">
        <f t="shared" si="85"/>
        <v/>
      </c>
      <c r="I561" s="21">
        <f t="shared" si="89"/>
        <v>0</v>
      </c>
      <c r="J561" s="21" t="e">
        <f t="shared" si="86"/>
        <v>#N/A</v>
      </c>
      <c r="K561" s="21" t="str">
        <f t="shared" si="90"/>
        <v/>
      </c>
    </row>
    <row r="562" spans="2:11" x14ac:dyDescent="0.25">
      <c r="B562" s="9" t="e">
        <f t="shared" si="91"/>
        <v>#N/A</v>
      </c>
      <c r="C562" s="10" t="e">
        <f t="shared" si="83"/>
        <v>#N/A</v>
      </c>
      <c r="D562" s="11" t="str">
        <f>IF(ISERROR(B562),"",bsolve($B562,$E$2,$E$4,$E$8,$E$9))</f>
        <v/>
      </c>
      <c r="E562" s="11" t="str">
        <f t="shared" si="84"/>
        <v/>
      </c>
      <c r="F562" s="11" t="str">
        <f t="shared" si="87"/>
        <v/>
      </c>
      <c r="G562" s="11" t="str">
        <f t="shared" si="88"/>
        <v/>
      </c>
      <c r="H562" s="19" t="str">
        <f t="shared" si="85"/>
        <v/>
      </c>
      <c r="I562" s="21">
        <f t="shared" si="89"/>
        <v>0</v>
      </c>
      <c r="J562" s="21" t="e">
        <f t="shared" si="86"/>
        <v>#N/A</v>
      </c>
      <c r="K562" s="21" t="str">
        <f t="shared" si="90"/>
        <v/>
      </c>
    </row>
    <row r="563" spans="2:11" x14ac:dyDescent="0.25">
      <c r="B563" s="9" t="e">
        <f t="shared" si="91"/>
        <v>#N/A</v>
      </c>
      <c r="C563" s="10" t="e">
        <f t="shared" si="83"/>
        <v>#N/A</v>
      </c>
      <c r="D563" s="11" t="str">
        <f>IF(ISERROR(B563),"",bsolve($B563,$E$2,$E$4,$E$8,$E$9))</f>
        <v/>
      </c>
      <c r="E563" s="11" t="str">
        <f t="shared" si="84"/>
        <v/>
      </c>
      <c r="F563" s="11" t="str">
        <f t="shared" si="87"/>
        <v/>
      </c>
      <c r="G563" s="11" t="str">
        <f t="shared" si="88"/>
        <v/>
      </c>
      <c r="H563" s="19" t="str">
        <f t="shared" si="85"/>
        <v/>
      </c>
      <c r="I563" s="21">
        <f t="shared" si="89"/>
        <v>0</v>
      </c>
      <c r="J563" s="21" t="e">
        <f t="shared" si="86"/>
        <v>#N/A</v>
      </c>
      <c r="K563" s="21" t="str">
        <f t="shared" si="90"/>
        <v/>
      </c>
    </row>
    <row r="564" spans="2:11" x14ac:dyDescent="0.25">
      <c r="B564" s="9" t="e">
        <f t="shared" si="91"/>
        <v>#N/A</v>
      </c>
      <c r="C564" s="10" t="e">
        <f t="shared" si="83"/>
        <v>#N/A</v>
      </c>
      <c r="D564" s="11" t="str">
        <f>IF(ISERROR(B564),"",bsolve($B564,$E$2,$E$4,$E$8,$E$9))</f>
        <v/>
      </c>
      <c r="E564" s="11" t="str">
        <f t="shared" si="84"/>
        <v/>
      </c>
      <c r="F564" s="11" t="str">
        <f t="shared" si="87"/>
        <v/>
      </c>
      <c r="G564" s="11" t="str">
        <f t="shared" si="88"/>
        <v/>
      </c>
      <c r="H564" s="19" t="str">
        <f t="shared" si="85"/>
        <v/>
      </c>
      <c r="I564" s="21">
        <f t="shared" si="89"/>
        <v>0</v>
      </c>
      <c r="J564" s="21" t="e">
        <f t="shared" si="86"/>
        <v>#N/A</v>
      </c>
      <c r="K564" s="21" t="str">
        <f t="shared" si="90"/>
        <v/>
      </c>
    </row>
    <row r="565" spans="2:11" x14ac:dyDescent="0.25">
      <c r="B565" s="9" t="e">
        <f t="shared" si="91"/>
        <v>#N/A</v>
      </c>
      <c r="C565" s="10" t="e">
        <f t="shared" si="83"/>
        <v>#N/A</v>
      </c>
      <c r="D565" s="11" t="str">
        <f>IF(ISERROR(B565),"",bsolve($B565,$E$2,$E$4,$E$8,$E$9))</f>
        <v/>
      </c>
      <c r="E565" s="11" t="str">
        <f t="shared" si="84"/>
        <v/>
      </c>
      <c r="F565" s="11" t="str">
        <f t="shared" si="87"/>
        <v/>
      </c>
      <c r="G565" s="11" t="str">
        <f t="shared" si="88"/>
        <v/>
      </c>
      <c r="H565" s="19" t="str">
        <f t="shared" si="85"/>
        <v/>
      </c>
      <c r="I565" s="21">
        <f t="shared" si="89"/>
        <v>0</v>
      </c>
      <c r="J565" s="21" t="e">
        <f t="shared" si="86"/>
        <v>#N/A</v>
      </c>
      <c r="K565" s="21" t="str">
        <f t="shared" si="90"/>
        <v/>
      </c>
    </row>
    <row r="566" spans="2:11" x14ac:dyDescent="0.25">
      <c r="B566" s="9" t="e">
        <f t="shared" si="91"/>
        <v>#N/A</v>
      </c>
      <c r="C566" s="10" t="e">
        <f t="shared" si="83"/>
        <v>#N/A</v>
      </c>
      <c r="D566" s="11" t="str">
        <f>IF(ISERROR(B566),"",bsolve($B566,$E$2,$E$4,$E$8,$E$9))</f>
        <v/>
      </c>
      <c r="E566" s="11" t="str">
        <f t="shared" si="84"/>
        <v/>
      </c>
      <c r="F566" s="11" t="str">
        <f t="shared" si="87"/>
        <v/>
      </c>
      <c r="G566" s="11" t="str">
        <f t="shared" si="88"/>
        <v/>
      </c>
      <c r="H566" s="19" t="str">
        <f t="shared" si="85"/>
        <v/>
      </c>
      <c r="I566" s="21">
        <f t="shared" si="89"/>
        <v>0</v>
      </c>
      <c r="J566" s="21" t="e">
        <f t="shared" si="86"/>
        <v>#N/A</v>
      </c>
      <c r="K566" s="21" t="str">
        <f t="shared" si="90"/>
        <v/>
      </c>
    </row>
    <row r="567" spans="2:11" x14ac:dyDescent="0.25">
      <c r="B567" s="9" t="e">
        <f t="shared" si="91"/>
        <v>#N/A</v>
      </c>
      <c r="C567" s="10" t="e">
        <f t="shared" si="83"/>
        <v>#N/A</v>
      </c>
      <c r="D567" s="11" t="str">
        <f>IF(ISERROR(B567),"",bsolve($B567,$E$2,$E$4,$E$8,$E$9))</f>
        <v/>
      </c>
      <c r="E567" s="11" t="str">
        <f t="shared" si="84"/>
        <v/>
      </c>
      <c r="F567" s="11" t="str">
        <f t="shared" si="87"/>
        <v/>
      </c>
      <c r="G567" s="11" t="str">
        <f t="shared" si="88"/>
        <v/>
      </c>
      <c r="H567" s="19" t="str">
        <f t="shared" si="85"/>
        <v/>
      </c>
      <c r="I567" s="21">
        <f t="shared" si="89"/>
        <v>0</v>
      </c>
      <c r="J567" s="21" t="e">
        <f t="shared" si="86"/>
        <v>#N/A</v>
      </c>
      <c r="K567" s="21" t="str">
        <f t="shared" si="90"/>
        <v/>
      </c>
    </row>
    <row r="568" spans="2:11" x14ac:dyDescent="0.25">
      <c r="B568" s="9" t="e">
        <f t="shared" si="91"/>
        <v>#N/A</v>
      </c>
      <c r="C568" s="10" t="e">
        <f t="shared" si="83"/>
        <v>#N/A</v>
      </c>
      <c r="D568" s="11" t="str">
        <f>IF(ISERROR(B568),"",bsolve($B568,$E$2,$E$4,$E$8,$E$9))</f>
        <v/>
      </c>
      <c r="E568" s="11" t="str">
        <f t="shared" si="84"/>
        <v/>
      </c>
      <c r="F568" s="11" t="str">
        <f t="shared" si="87"/>
        <v/>
      </c>
      <c r="G568" s="11" t="str">
        <f t="shared" si="88"/>
        <v/>
      </c>
      <c r="H568" s="19" t="str">
        <f t="shared" si="85"/>
        <v/>
      </c>
      <c r="I568" s="21">
        <f t="shared" si="89"/>
        <v>0</v>
      </c>
      <c r="J568" s="21" t="e">
        <f t="shared" si="86"/>
        <v>#N/A</v>
      </c>
      <c r="K568" s="21" t="str">
        <f t="shared" si="90"/>
        <v/>
      </c>
    </row>
    <row r="569" spans="2:11" x14ac:dyDescent="0.25">
      <c r="B569" s="9" t="e">
        <f t="shared" si="91"/>
        <v>#N/A</v>
      </c>
      <c r="C569" s="10" t="e">
        <f t="shared" si="83"/>
        <v>#N/A</v>
      </c>
      <c r="D569" s="11" t="str">
        <f>IF(ISERROR(B569),"",bsolve($B569,$E$2,$E$4,$E$8,$E$9))</f>
        <v/>
      </c>
      <c r="E569" s="11" t="str">
        <f t="shared" si="84"/>
        <v/>
      </c>
      <c r="F569" s="11" t="str">
        <f t="shared" si="87"/>
        <v/>
      </c>
      <c r="G569" s="11" t="str">
        <f t="shared" si="88"/>
        <v/>
      </c>
      <c r="H569" s="19" t="str">
        <f t="shared" si="85"/>
        <v/>
      </c>
      <c r="I569" s="21">
        <f t="shared" si="89"/>
        <v>0</v>
      </c>
      <c r="J569" s="21" t="e">
        <f t="shared" si="86"/>
        <v>#N/A</v>
      </c>
      <c r="K569" s="21" t="str">
        <f t="shared" si="90"/>
        <v/>
      </c>
    </row>
    <row r="570" spans="2:11" x14ac:dyDescent="0.25">
      <c r="B570" s="9" t="e">
        <f t="shared" si="91"/>
        <v>#N/A</v>
      </c>
      <c r="C570" s="10" t="e">
        <f t="shared" si="83"/>
        <v>#N/A</v>
      </c>
      <c r="D570" s="11" t="str">
        <f>IF(ISERROR(B570),"",bsolve($B570,$E$2,$E$4,$E$8,$E$9))</f>
        <v/>
      </c>
      <c r="E570" s="11" t="str">
        <f t="shared" si="84"/>
        <v/>
      </c>
      <c r="F570" s="11" t="str">
        <f t="shared" si="87"/>
        <v/>
      </c>
      <c r="G570" s="11" t="str">
        <f t="shared" si="88"/>
        <v/>
      </c>
      <c r="H570" s="19" t="str">
        <f t="shared" si="85"/>
        <v/>
      </c>
      <c r="I570" s="21">
        <f t="shared" si="89"/>
        <v>0</v>
      </c>
      <c r="J570" s="21" t="e">
        <f t="shared" si="86"/>
        <v>#N/A</v>
      </c>
      <c r="K570" s="21" t="str">
        <f t="shared" si="90"/>
        <v/>
      </c>
    </row>
    <row r="571" spans="2:11" x14ac:dyDescent="0.25">
      <c r="B571" s="9" t="e">
        <f t="shared" si="91"/>
        <v>#N/A</v>
      </c>
      <c r="C571" s="10" t="e">
        <f t="shared" si="83"/>
        <v>#N/A</v>
      </c>
      <c r="D571" s="11" t="str">
        <f>IF(ISERROR(B571),"",bsolve($B571,$E$2,$E$4,$E$8,$E$9))</f>
        <v/>
      </c>
      <c r="E571" s="11" t="str">
        <f t="shared" si="84"/>
        <v/>
      </c>
      <c r="F571" s="11" t="str">
        <f t="shared" si="87"/>
        <v/>
      </c>
      <c r="G571" s="11" t="str">
        <f t="shared" si="88"/>
        <v/>
      </c>
      <c r="H571" s="19" t="str">
        <f t="shared" si="85"/>
        <v/>
      </c>
      <c r="I571" s="21">
        <f t="shared" si="89"/>
        <v>0</v>
      </c>
      <c r="J571" s="21" t="e">
        <f t="shared" si="86"/>
        <v>#N/A</v>
      </c>
      <c r="K571" s="21" t="str">
        <f t="shared" si="90"/>
        <v/>
      </c>
    </row>
    <row r="572" spans="2:11" x14ac:dyDescent="0.25">
      <c r="B572" s="9" t="e">
        <f t="shared" si="91"/>
        <v>#N/A</v>
      </c>
      <c r="C572" s="10" t="e">
        <f t="shared" si="83"/>
        <v>#N/A</v>
      </c>
      <c r="D572" s="11" t="str">
        <f>IF(ISERROR(B572),"",bsolve($B572,$E$2,$E$4,$E$8,$E$9))</f>
        <v/>
      </c>
      <c r="E572" s="11" t="str">
        <f t="shared" si="84"/>
        <v/>
      </c>
      <c r="F572" s="11" t="str">
        <f t="shared" si="87"/>
        <v/>
      </c>
      <c r="G572" s="11" t="str">
        <f t="shared" si="88"/>
        <v/>
      </c>
      <c r="H572" s="19" t="str">
        <f t="shared" si="85"/>
        <v/>
      </c>
      <c r="I572" s="21">
        <f t="shared" si="89"/>
        <v>0</v>
      </c>
      <c r="J572" s="21" t="e">
        <f t="shared" si="86"/>
        <v>#N/A</v>
      </c>
      <c r="K572" s="21" t="str">
        <f t="shared" si="90"/>
        <v/>
      </c>
    </row>
    <row r="573" spans="2:11" x14ac:dyDescent="0.25">
      <c r="B573" s="9" t="e">
        <f t="shared" si="91"/>
        <v>#N/A</v>
      </c>
      <c r="C573" s="10" t="e">
        <f t="shared" si="83"/>
        <v>#N/A</v>
      </c>
      <c r="D573" s="11" t="str">
        <f>IF(ISERROR(B573),"",bsolve($B573,$E$2,$E$4,$E$8,$E$9))</f>
        <v/>
      </c>
      <c r="E573" s="11" t="str">
        <f t="shared" si="84"/>
        <v/>
      </c>
      <c r="F573" s="11" t="str">
        <f t="shared" si="87"/>
        <v/>
      </c>
      <c r="G573" s="11" t="str">
        <f t="shared" si="88"/>
        <v/>
      </c>
      <c r="H573" s="19" t="str">
        <f t="shared" si="85"/>
        <v/>
      </c>
      <c r="I573" s="21">
        <f t="shared" si="89"/>
        <v>0</v>
      </c>
      <c r="J573" s="21" t="e">
        <f t="shared" si="86"/>
        <v>#N/A</v>
      </c>
      <c r="K573" s="21" t="str">
        <f t="shared" si="90"/>
        <v/>
      </c>
    </row>
    <row r="574" spans="2:11" x14ac:dyDescent="0.25">
      <c r="B574" s="9" t="e">
        <f t="shared" si="91"/>
        <v>#N/A</v>
      </c>
      <c r="C574" s="10" t="e">
        <f t="shared" si="83"/>
        <v>#N/A</v>
      </c>
      <c r="D574" s="11" t="str">
        <f>IF(ISERROR(B574),"",bsolve($B574,$E$2,$E$4,$E$8,$E$9))</f>
        <v/>
      </c>
      <c r="E574" s="11" t="str">
        <f t="shared" si="84"/>
        <v/>
      </c>
      <c r="F574" s="11" t="str">
        <f t="shared" si="87"/>
        <v/>
      </c>
      <c r="G574" s="11" t="str">
        <f t="shared" si="88"/>
        <v/>
      </c>
      <c r="H574" s="19" t="str">
        <f t="shared" si="85"/>
        <v/>
      </c>
      <c r="I574" s="21">
        <f t="shared" si="89"/>
        <v>0</v>
      </c>
      <c r="J574" s="21" t="e">
        <f t="shared" si="86"/>
        <v>#N/A</v>
      </c>
      <c r="K574" s="21" t="str">
        <f t="shared" si="90"/>
        <v/>
      </c>
    </row>
    <row r="575" spans="2:11" x14ac:dyDescent="0.25">
      <c r="B575" s="9" t="e">
        <f t="shared" si="91"/>
        <v>#N/A</v>
      </c>
      <c r="C575" s="10" t="e">
        <f t="shared" si="83"/>
        <v>#N/A</v>
      </c>
      <c r="D575" s="11" t="str">
        <f>IF(ISERROR(B575),"",bsolve($B575,$E$2,$E$4,$E$8,$E$9))</f>
        <v/>
      </c>
      <c r="E575" s="11" t="str">
        <f t="shared" si="84"/>
        <v/>
      </c>
      <c r="F575" s="11" t="str">
        <f t="shared" si="87"/>
        <v/>
      </c>
      <c r="G575" s="11" t="str">
        <f t="shared" si="88"/>
        <v/>
      </c>
      <c r="H575" s="19" t="str">
        <f t="shared" si="85"/>
        <v/>
      </c>
      <c r="I575" s="21">
        <f t="shared" si="89"/>
        <v>0</v>
      </c>
      <c r="J575" s="21" t="e">
        <f t="shared" si="86"/>
        <v>#N/A</v>
      </c>
      <c r="K575" s="21" t="str">
        <f t="shared" si="90"/>
        <v/>
      </c>
    </row>
    <row r="576" spans="2:11" x14ac:dyDescent="0.25">
      <c r="B576" s="9" t="e">
        <f t="shared" si="91"/>
        <v>#N/A</v>
      </c>
      <c r="C576" s="10" t="e">
        <f t="shared" si="83"/>
        <v>#N/A</v>
      </c>
      <c r="D576" s="11" t="str">
        <f>IF(ISERROR(B576),"",bsolve($B576,$E$2,$E$4,$E$8,$E$9))</f>
        <v/>
      </c>
      <c r="E576" s="11" t="str">
        <f t="shared" si="84"/>
        <v/>
      </c>
      <c r="F576" s="11" t="str">
        <f t="shared" si="87"/>
        <v/>
      </c>
      <c r="G576" s="11" t="str">
        <f t="shared" si="88"/>
        <v/>
      </c>
      <c r="H576" s="19" t="str">
        <f t="shared" si="85"/>
        <v/>
      </c>
      <c r="I576" s="21">
        <f t="shared" si="89"/>
        <v>0</v>
      </c>
      <c r="J576" s="21" t="e">
        <f t="shared" si="86"/>
        <v>#N/A</v>
      </c>
      <c r="K576" s="21" t="str">
        <f t="shared" si="90"/>
        <v/>
      </c>
    </row>
    <row r="577" spans="2:11" x14ac:dyDescent="0.25">
      <c r="B577" s="9" t="e">
        <f t="shared" si="91"/>
        <v>#N/A</v>
      </c>
      <c r="C577" s="10" t="e">
        <f t="shared" si="83"/>
        <v>#N/A</v>
      </c>
      <c r="D577" s="11" t="str">
        <f>IF(ISERROR(B577),"",bsolve($B577,$E$2,$E$4,$E$8,$E$9))</f>
        <v/>
      </c>
      <c r="E577" s="11" t="str">
        <f t="shared" si="84"/>
        <v/>
      </c>
      <c r="F577" s="11" t="str">
        <f t="shared" si="87"/>
        <v/>
      </c>
      <c r="G577" s="11" t="str">
        <f t="shared" si="88"/>
        <v/>
      </c>
      <c r="H577" s="19" t="str">
        <f t="shared" si="85"/>
        <v/>
      </c>
      <c r="I577" s="21">
        <f t="shared" si="89"/>
        <v>0</v>
      </c>
      <c r="J577" s="21" t="e">
        <f t="shared" si="86"/>
        <v>#N/A</v>
      </c>
      <c r="K577" s="21" t="str">
        <f t="shared" si="90"/>
        <v/>
      </c>
    </row>
    <row r="578" spans="2:11" x14ac:dyDescent="0.25">
      <c r="B578" s="9" t="e">
        <f t="shared" si="91"/>
        <v>#N/A</v>
      </c>
      <c r="C578" s="10" t="e">
        <f t="shared" si="83"/>
        <v>#N/A</v>
      </c>
      <c r="D578" s="11" t="str">
        <f>IF(ISERROR(B578),"",bsolve($B578,$E$2,$E$4,$E$8,$E$9))</f>
        <v/>
      </c>
      <c r="E578" s="11" t="str">
        <f t="shared" si="84"/>
        <v/>
      </c>
      <c r="F578" s="11" t="str">
        <f t="shared" si="87"/>
        <v/>
      </c>
      <c r="G578" s="11" t="str">
        <f t="shared" si="88"/>
        <v/>
      </c>
      <c r="H578" s="19" t="str">
        <f t="shared" si="85"/>
        <v/>
      </c>
      <c r="I578" s="21">
        <f t="shared" si="89"/>
        <v>0</v>
      </c>
      <c r="J578" s="21" t="e">
        <f t="shared" si="86"/>
        <v>#N/A</v>
      </c>
      <c r="K578" s="21" t="str">
        <f t="shared" si="90"/>
        <v/>
      </c>
    </row>
    <row r="579" spans="2:11" x14ac:dyDescent="0.25">
      <c r="B579" s="9" t="e">
        <f t="shared" si="91"/>
        <v>#N/A</v>
      </c>
      <c r="C579" s="10" t="e">
        <f t="shared" si="83"/>
        <v>#N/A</v>
      </c>
      <c r="D579" s="11" t="str">
        <f>IF(ISERROR(B579),"",bsolve($B579,$E$2,$E$4,$E$8,$E$9))</f>
        <v/>
      </c>
      <c r="E579" s="11" t="str">
        <f t="shared" si="84"/>
        <v/>
      </c>
      <c r="F579" s="11" t="str">
        <f t="shared" si="87"/>
        <v/>
      </c>
      <c r="G579" s="11" t="str">
        <f t="shared" si="88"/>
        <v/>
      </c>
      <c r="H579" s="19" t="str">
        <f t="shared" si="85"/>
        <v/>
      </c>
      <c r="I579" s="21">
        <f t="shared" si="89"/>
        <v>0</v>
      </c>
      <c r="J579" s="21" t="e">
        <f t="shared" si="86"/>
        <v>#N/A</v>
      </c>
      <c r="K579" s="21" t="str">
        <f t="shared" si="90"/>
        <v/>
      </c>
    </row>
    <row r="580" spans="2:11" x14ac:dyDescent="0.25">
      <c r="B580" s="9" t="e">
        <f t="shared" si="91"/>
        <v>#N/A</v>
      </c>
      <c r="C580" s="10" t="e">
        <f t="shared" si="83"/>
        <v>#N/A</v>
      </c>
      <c r="D580" s="11" t="str">
        <f>IF(ISERROR(B580),"",bsolve($B580,$E$2,$E$4,$E$8,$E$9))</f>
        <v/>
      </c>
      <c r="E580" s="11" t="str">
        <f t="shared" si="84"/>
        <v/>
      </c>
      <c r="F580" s="11" t="str">
        <f t="shared" si="87"/>
        <v/>
      </c>
      <c r="G580" s="11" t="str">
        <f t="shared" si="88"/>
        <v/>
      </c>
      <c r="H580" s="19" t="str">
        <f t="shared" si="85"/>
        <v/>
      </c>
      <c r="I580" s="21">
        <f t="shared" si="89"/>
        <v>0</v>
      </c>
      <c r="J580" s="21" t="e">
        <f t="shared" si="86"/>
        <v>#N/A</v>
      </c>
      <c r="K580" s="21" t="str">
        <f t="shared" si="90"/>
        <v/>
      </c>
    </row>
    <row r="581" spans="2:11" x14ac:dyDescent="0.25">
      <c r="B581" s="9" t="e">
        <f t="shared" si="91"/>
        <v>#N/A</v>
      </c>
      <c r="C581" s="10" t="e">
        <f t="shared" si="83"/>
        <v>#N/A</v>
      </c>
      <c r="D581" s="11" t="str">
        <f>IF(ISERROR(B581),"",bsolve($B581,$E$2,$E$4,$E$8,$E$9))</f>
        <v/>
      </c>
      <c r="E581" s="11" t="str">
        <f t="shared" si="84"/>
        <v/>
      </c>
      <c r="F581" s="11" t="str">
        <f t="shared" si="87"/>
        <v/>
      </c>
      <c r="G581" s="11" t="str">
        <f t="shared" si="88"/>
        <v/>
      </c>
      <c r="H581" s="19" t="str">
        <f t="shared" si="85"/>
        <v/>
      </c>
      <c r="I581" s="21">
        <f t="shared" si="89"/>
        <v>0</v>
      </c>
      <c r="J581" s="21" t="e">
        <f t="shared" si="86"/>
        <v>#N/A</v>
      </c>
      <c r="K581" s="21" t="str">
        <f t="shared" si="90"/>
        <v/>
      </c>
    </row>
    <row r="582" spans="2:11" x14ac:dyDescent="0.25">
      <c r="B582" s="9" t="e">
        <f t="shared" si="91"/>
        <v>#N/A</v>
      </c>
      <c r="C582" s="10" t="e">
        <f t="shared" si="83"/>
        <v>#N/A</v>
      </c>
      <c r="D582" s="11" t="str">
        <f>IF(ISERROR(B582),"",bsolve($B582,$E$2,$E$4,$E$8,$E$9))</f>
        <v/>
      </c>
      <c r="E582" s="11" t="str">
        <f t="shared" si="84"/>
        <v/>
      </c>
      <c r="F582" s="11" t="str">
        <f t="shared" si="87"/>
        <v/>
      </c>
      <c r="G582" s="11" t="str">
        <f t="shared" si="88"/>
        <v/>
      </c>
      <c r="H582" s="19" t="str">
        <f t="shared" si="85"/>
        <v/>
      </c>
      <c r="I582" s="21">
        <f t="shared" si="89"/>
        <v>0</v>
      </c>
      <c r="J582" s="21" t="e">
        <f t="shared" si="86"/>
        <v>#N/A</v>
      </c>
      <c r="K582" s="21" t="str">
        <f t="shared" si="90"/>
        <v/>
      </c>
    </row>
    <row r="583" spans="2:11" x14ac:dyDescent="0.25">
      <c r="B583" s="9" t="e">
        <f t="shared" si="91"/>
        <v>#N/A</v>
      </c>
      <c r="C583" s="10" t="e">
        <f t="shared" si="83"/>
        <v>#N/A</v>
      </c>
      <c r="D583" s="11" t="str">
        <f>IF(ISERROR(B583),"",bsolve($B583,$E$2,$E$4,$E$8,$E$9))</f>
        <v/>
      </c>
      <c r="E583" s="11" t="str">
        <f t="shared" si="84"/>
        <v/>
      </c>
      <c r="F583" s="11" t="str">
        <f t="shared" si="87"/>
        <v/>
      </c>
      <c r="G583" s="11" t="str">
        <f t="shared" si="88"/>
        <v/>
      </c>
      <c r="H583" s="19" t="str">
        <f t="shared" si="85"/>
        <v/>
      </c>
      <c r="I583" s="21">
        <f t="shared" si="89"/>
        <v>0</v>
      </c>
      <c r="J583" s="21" t="e">
        <f t="shared" si="86"/>
        <v>#N/A</v>
      </c>
      <c r="K583" s="21" t="str">
        <f t="shared" si="90"/>
        <v/>
      </c>
    </row>
    <row r="584" spans="2:11" x14ac:dyDescent="0.25">
      <c r="B584" s="9" t="e">
        <f t="shared" si="91"/>
        <v>#N/A</v>
      </c>
      <c r="C584" s="10" t="e">
        <f t="shared" si="83"/>
        <v>#N/A</v>
      </c>
      <c r="D584" s="11" t="str">
        <f>IF(ISERROR(B584),"",bsolve($B584,$E$2,$E$4,$E$8,$E$9))</f>
        <v/>
      </c>
      <c r="E584" s="11" t="str">
        <f t="shared" si="84"/>
        <v/>
      </c>
      <c r="F584" s="11" t="str">
        <f t="shared" si="87"/>
        <v/>
      </c>
      <c r="G584" s="11" t="str">
        <f t="shared" si="88"/>
        <v/>
      </c>
      <c r="H584" s="19" t="str">
        <f t="shared" si="85"/>
        <v/>
      </c>
      <c r="I584" s="21">
        <f t="shared" si="89"/>
        <v>0</v>
      </c>
      <c r="J584" s="21" t="e">
        <f t="shared" si="86"/>
        <v>#N/A</v>
      </c>
      <c r="K584" s="21" t="str">
        <f t="shared" si="90"/>
        <v/>
      </c>
    </row>
    <row r="585" spans="2:11" x14ac:dyDescent="0.25">
      <c r="B585" s="9" t="e">
        <f t="shared" si="91"/>
        <v>#N/A</v>
      </c>
      <c r="C585" s="10" t="e">
        <f t="shared" si="83"/>
        <v>#N/A</v>
      </c>
      <c r="D585" s="11" t="str">
        <f>IF(ISERROR(B585),"",bsolve($B585,$E$2,$E$4,$E$8,$E$9))</f>
        <v/>
      </c>
      <c r="E585" s="11" t="str">
        <f t="shared" si="84"/>
        <v/>
      </c>
      <c r="F585" s="11" t="str">
        <f t="shared" si="87"/>
        <v/>
      </c>
      <c r="G585" s="11" t="str">
        <f t="shared" si="88"/>
        <v/>
      </c>
      <c r="H585" s="19" t="str">
        <f t="shared" si="85"/>
        <v/>
      </c>
      <c r="I585" s="21">
        <f t="shared" si="89"/>
        <v>0</v>
      </c>
      <c r="J585" s="21" t="e">
        <f t="shared" si="86"/>
        <v>#N/A</v>
      </c>
      <c r="K585" s="21" t="str">
        <f t="shared" si="90"/>
        <v/>
      </c>
    </row>
    <row r="586" spans="2:11" x14ac:dyDescent="0.25">
      <c r="B586" s="9" t="e">
        <f t="shared" si="91"/>
        <v>#N/A</v>
      </c>
      <c r="C586" s="10" t="e">
        <f t="shared" si="83"/>
        <v>#N/A</v>
      </c>
      <c r="D586" s="11" t="str">
        <f>IF(ISERROR(B586),"",bsolve($B586,$E$2,$E$4,$E$8,$E$9))</f>
        <v/>
      </c>
      <c r="E586" s="11" t="str">
        <f t="shared" si="84"/>
        <v/>
      </c>
      <c r="F586" s="11" t="str">
        <f t="shared" si="87"/>
        <v/>
      </c>
      <c r="G586" s="11" t="str">
        <f t="shared" si="88"/>
        <v/>
      </c>
      <c r="H586" s="19" t="str">
        <f t="shared" si="85"/>
        <v/>
      </c>
      <c r="I586" s="21">
        <f t="shared" si="89"/>
        <v>0</v>
      </c>
      <c r="J586" s="21" t="e">
        <f t="shared" si="86"/>
        <v>#N/A</v>
      </c>
      <c r="K586" s="21" t="str">
        <f t="shared" si="90"/>
        <v/>
      </c>
    </row>
    <row r="587" spans="2:11" x14ac:dyDescent="0.25">
      <c r="B587" s="9" t="e">
        <f t="shared" si="91"/>
        <v>#N/A</v>
      </c>
      <c r="C587" s="10" t="e">
        <f t="shared" si="83"/>
        <v>#N/A</v>
      </c>
      <c r="D587" s="11" t="str">
        <f>IF(ISERROR(B587),"",bsolve($B587,$E$2,$E$4,$E$8,$E$9))</f>
        <v/>
      </c>
      <c r="E587" s="11" t="str">
        <f t="shared" si="84"/>
        <v/>
      </c>
      <c r="F587" s="11" t="str">
        <f t="shared" si="87"/>
        <v/>
      </c>
      <c r="G587" s="11" t="str">
        <f t="shared" si="88"/>
        <v/>
      </c>
      <c r="H587" s="19" t="str">
        <f t="shared" si="85"/>
        <v/>
      </c>
      <c r="I587" s="21">
        <f t="shared" si="89"/>
        <v>0</v>
      </c>
      <c r="J587" s="21" t="e">
        <f t="shared" si="86"/>
        <v>#N/A</v>
      </c>
      <c r="K587" s="21" t="str">
        <f t="shared" si="90"/>
        <v/>
      </c>
    </row>
    <row r="588" spans="2:11" x14ac:dyDescent="0.25">
      <c r="B588" s="9" t="e">
        <f t="shared" si="91"/>
        <v>#N/A</v>
      </c>
      <c r="C588" s="10" t="e">
        <f t="shared" si="83"/>
        <v>#N/A</v>
      </c>
      <c r="D588" s="11" t="str">
        <f>IF(ISERROR(B588),"",bsolve($B588,$E$2,$E$4,$E$8,$E$9))</f>
        <v/>
      </c>
      <c r="E588" s="11" t="str">
        <f t="shared" si="84"/>
        <v/>
      </c>
      <c r="F588" s="11" t="str">
        <f t="shared" si="87"/>
        <v/>
      </c>
      <c r="G588" s="11" t="str">
        <f t="shared" si="88"/>
        <v/>
      </c>
      <c r="H588" s="19" t="str">
        <f t="shared" si="85"/>
        <v/>
      </c>
      <c r="I588" s="21">
        <f t="shared" si="89"/>
        <v>0</v>
      </c>
      <c r="J588" s="21" t="e">
        <f t="shared" si="86"/>
        <v>#N/A</v>
      </c>
      <c r="K588" s="21" t="str">
        <f t="shared" si="90"/>
        <v/>
      </c>
    </row>
    <row r="589" spans="2:11" x14ac:dyDescent="0.25">
      <c r="B589" s="9" t="e">
        <f t="shared" si="91"/>
        <v>#N/A</v>
      </c>
      <c r="C589" s="10" t="e">
        <f t="shared" si="83"/>
        <v>#N/A</v>
      </c>
      <c r="D589" s="11" t="str">
        <f>IF(ISERROR(B589),"",bsolve($B589,$E$2,$E$4,$E$8,$E$9))</f>
        <v/>
      </c>
      <c r="E589" s="11" t="str">
        <f t="shared" si="84"/>
        <v/>
      </c>
      <c r="F589" s="11" t="str">
        <f t="shared" si="87"/>
        <v/>
      </c>
      <c r="G589" s="11" t="str">
        <f t="shared" si="88"/>
        <v/>
      </c>
      <c r="H589" s="19" t="str">
        <f t="shared" si="85"/>
        <v/>
      </c>
      <c r="I589" s="21">
        <f t="shared" si="89"/>
        <v>0</v>
      </c>
      <c r="J589" s="21" t="e">
        <f t="shared" si="86"/>
        <v>#N/A</v>
      </c>
      <c r="K589" s="21" t="str">
        <f t="shared" si="90"/>
        <v/>
      </c>
    </row>
    <row r="590" spans="2:11" x14ac:dyDescent="0.25">
      <c r="B590" s="9" t="e">
        <f t="shared" si="91"/>
        <v>#N/A</v>
      </c>
      <c r="C590" s="10" t="e">
        <f t="shared" si="83"/>
        <v>#N/A</v>
      </c>
      <c r="D590" s="11" t="str">
        <f>IF(ISERROR(B590),"",bsolve($B590,$E$2,$E$4,$E$8,$E$9))</f>
        <v/>
      </c>
      <c r="E590" s="11" t="str">
        <f t="shared" si="84"/>
        <v/>
      </c>
      <c r="F590" s="11" t="str">
        <f t="shared" si="87"/>
        <v/>
      </c>
      <c r="G590" s="11" t="str">
        <f t="shared" si="88"/>
        <v/>
      </c>
      <c r="H590" s="19" t="str">
        <f t="shared" si="85"/>
        <v/>
      </c>
      <c r="I590" s="21">
        <f t="shared" si="89"/>
        <v>0</v>
      </c>
      <c r="J590" s="21" t="e">
        <f t="shared" si="86"/>
        <v>#N/A</v>
      </c>
      <c r="K590" s="21" t="str">
        <f t="shared" si="90"/>
        <v/>
      </c>
    </row>
    <row r="591" spans="2:11" x14ac:dyDescent="0.25">
      <c r="B591" s="9" t="e">
        <f t="shared" si="91"/>
        <v>#N/A</v>
      </c>
      <c r="C591" s="10" t="e">
        <f t="shared" si="83"/>
        <v>#N/A</v>
      </c>
      <c r="D591" s="11" t="str">
        <f>IF(ISERROR(B591),"",bsolve($B591,$E$2,$E$4,$E$8,$E$9))</f>
        <v/>
      </c>
      <c r="E591" s="11" t="str">
        <f t="shared" si="84"/>
        <v/>
      </c>
      <c r="F591" s="11" t="str">
        <f t="shared" si="87"/>
        <v/>
      </c>
      <c r="G591" s="11" t="str">
        <f t="shared" si="88"/>
        <v/>
      </c>
      <c r="H591" s="19" t="str">
        <f t="shared" si="85"/>
        <v/>
      </c>
      <c r="I591" s="21">
        <f t="shared" si="89"/>
        <v>0</v>
      </c>
      <c r="J591" s="21" t="e">
        <f t="shared" si="86"/>
        <v>#N/A</v>
      </c>
      <c r="K591" s="21" t="str">
        <f t="shared" si="90"/>
        <v/>
      </c>
    </row>
    <row r="592" spans="2:11" x14ac:dyDescent="0.25">
      <c r="B592" s="9" t="e">
        <f t="shared" si="91"/>
        <v>#N/A</v>
      </c>
      <c r="C592" s="10" t="e">
        <f t="shared" si="83"/>
        <v>#N/A</v>
      </c>
      <c r="D592" s="11" t="str">
        <f>IF(ISERROR(B592),"",bsolve($B592,$E$2,$E$4,$E$8,$E$9))</f>
        <v/>
      </c>
      <c r="E592" s="11" t="str">
        <f t="shared" si="84"/>
        <v/>
      </c>
      <c r="F592" s="11" t="str">
        <f t="shared" si="87"/>
        <v/>
      </c>
      <c r="G592" s="11" t="str">
        <f t="shared" si="88"/>
        <v/>
      </c>
      <c r="H592" s="19" t="str">
        <f t="shared" si="85"/>
        <v/>
      </c>
      <c r="I592" s="21">
        <f t="shared" si="89"/>
        <v>0</v>
      </c>
      <c r="J592" s="21" t="e">
        <f t="shared" si="86"/>
        <v>#N/A</v>
      </c>
      <c r="K592" s="21" t="str">
        <f t="shared" si="90"/>
        <v/>
      </c>
    </row>
    <row r="593" spans="2:11" x14ac:dyDescent="0.25">
      <c r="B593" s="9" t="e">
        <f t="shared" si="91"/>
        <v>#N/A</v>
      </c>
      <c r="C593" s="10" t="e">
        <f t="shared" si="83"/>
        <v>#N/A</v>
      </c>
      <c r="D593" s="11" t="str">
        <f>IF(ISERROR(B593),"",bsolve($B593,$E$2,$E$4,$E$8,$E$9))</f>
        <v/>
      </c>
      <c r="E593" s="11" t="str">
        <f t="shared" si="84"/>
        <v/>
      </c>
      <c r="F593" s="11" t="str">
        <f t="shared" si="87"/>
        <v/>
      </c>
      <c r="G593" s="11" t="str">
        <f t="shared" si="88"/>
        <v/>
      </c>
      <c r="H593" s="19" t="str">
        <f t="shared" si="85"/>
        <v/>
      </c>
      <c r="I593" s="21">
        <f t="shared" si="89"/>
        <v>0</v>
      </c>
      <c r="J593" s="21" t="e">
        <f t="shared" si="86"/>
        <v>#N/A</v>
      </c>
      <c r="K593" s="21" t="str">
        <f t="shared" si="90"/>
        <v/>
      </c>
    </row>
    <row r="594" spans="2:11" x14ac:dyDescent="0.25">
      <c r="B594" s="9" t="e">
        <f t="shared" si="91"/>
        <v>#N/A</v>
      </c>
      <c r="C594" s="10" t="e">
        <f t="shared" ref="C594:C657" si="92">IF(B594="","",100*B594/$E$2)</f>
        <v>#N/A</v>
      </c>
      <c r="D594" s="11" t="str">
        <f>IF(ISERROR(B594),"",bsolve($B594,$E$2,$E$4,$E$8,$E$9))</f>
        <v/>
      </c>
      <c r="E594" s="11" t="str">
        <f t="shared" ref="E594:E657" si="93">IF(ISERROR(B594),"",IF(AND($E$7&lt;$E$5,C594&gt;=($E$5*100)),D594,0))</f>
        <v/>
      </c>
      <c r="F594" s="11" t="str">
        <f t="shared" si="87"/>
        <v/>
      </c>
      <c r="G594" s="11" t="str">
        <f t="shared" si="88"/>
        <v/>
      </c>
      <c r="H594" s="19" t="str">
        <f t="shared" ref="H594:H657" si="94">IF(ISERROR(B594),"",100*((B594*(1-$E$9))+($E$2-B594)*$E$8)/$E$2)</f>
        <v/>
      </c>
      <c r="I594" s="21">
        <f t="shared" si="89"/>
        <v>0</v>
      </c>
      <c r="J594" s="21" t="e">
        <f t="shared" ref="J594:J657" si="95">IF(ISERROR(B594),NA(),IF(AND(H594&gt;=$E$5*100,B594/$E$2&lt;$E$5),H594,NA()))</f>
        <v>#N/A</v>
      </c>
      <c r="K594" s="21" t="str">
        <f t="shared" si="90"/>
        <v/>
      </c>
    </row>
    <row r="595" spans="2:11" x14ac:dyDescent="0.25">
      <c r="B595" s="9" t="e">
        <f t="shared" si="91"/>
        <v>#N/A</v>
      </c>
      <c r="C595" s="10" t="e">
        <f t="shared" si="92"/>
        <v>#N/A</v>
      </c>
      <c r="D595" s="11" t="str">
        <f>IF(ISERROR(B595),"",bsolve($B595,$E$2,$E$4,$E$8,$E$9))</f>
        <v/>
      </c>
      <c r="E595" s="11" t="str">
        <f t="shared" si="93"/>
        <v/>
      </c>
      <c r="F595" s="11" t="str">
        <f t="shared" ref="F595:F658" si="96">IF(ISERROR(B595),"",IF(AND($E$7&gt;=$E$5,C595&lt;($E$5*100)),D595,0))</f>
        <v/>
      </c>
      <c r="G595" s="11" t="str">
        <f t="shared" ref="G595:G658" si="97">IF(ISERROR(B595),"",IF(C595&gt;=$E$5*100,D595,""))</f>
        <v/>
      </c>
      <c r="H595" s="19" t="str">
        <f t="shared" si="94"/>
        <v/>
      </c>
      <c r="I595" s="21">
        <f t="shared" ref="I595:I658" si="98">IF(NOT(ISERROR(J595)),B595,0)</f>
        <v>0</v>
      </c>
      <c r="J595" s="21" t="e">
        <f t="shared" si="95"/>
        <v>#N/A</v>
      </c>
      <c r="K595" s="21" t="str">
        <f t="shared" ref="K595:K658" si="99">IF(AND(I595=0,I596&gt;0),B595,"")</f>
        <v/>
      </c>
    </row>
    <row r="596" spans="2:11" x14ac:dyDescent="0.25">
      <c r="B596" s="9" t="e">
        <f t="shared" ref="B596:B659" si="100">IF(ROW()-18&lt;=$E$2,B595+1,NA())</f>
        <v>#N/A</v>
      </c>
      <c r="C596" s="10" t="e">
        <f t="shared" si="92"/>
        <v>#N/A</v>
      </c>
      <c r="D596" s="11" t="str">
        <f>IF(ISERROR(B596),"",bsolve($B596,$E$2,$E$4,$E$8,$E$9))</f>
        <v/>
      </c>
      <c r="E596" s="11" t="str">
        <f t="shared" si="93"/>
        <v/>
      </c>
      <c r="F596" s="11" t="str">
        <f t="shared" si="96"/>
        <v/>
      </c>
      <c r="G596" s="11" t="str">
        <f t="shared" si="97"/>
        <v/>
      </c>
      <c r="H596" s="19" t="str">
        <f t="shared" si="94"/>
        <v/>
      </c>
      <c r="I596" s="21">
        <f t="shared" si="98"/>
        <v>0</v>
      </c>
      <c r="J596" s="21" t="e">
        <f t="shared" si="95"/>
        <v>#N/A</v>
      </c>
      <c r="K596" s="21" t="str">
        <f t="shared" si="99"/>
        <v/>
      </c>
    </row>
    <row r="597" spans="2:11" x14ac:dyDescent="0.25">
      <c r="B597" s="9" t="e">
        <f t="shared" si="100"/>
        <v>#N/A</v>
      </c>
      <c r="C597" s="10" t="e">
        <f t="shared" si="92"/>
        <v>#N/A</v>
      </c>
      <c r="D597" s="11" t="str">
        <f>IF(ISERROR(B597),"",bsolve($B597,$E$2,$E$4,$E$8,$E$9))</f>
        <v/>
      </c>
      <c r="E597" s="11" t="str">
        <f t="shared" si="93"/>
        <v/>
      </c>
      <c r="F597" s="11" t="str">
        <f t="shared" si="96"/>
        <v/>
      </c>
      <c r="G597" s="11" t="str">
        <f t="shared" si="97"/>
        <v/>
      </c>
      <c r="H597" s="19" t="str">
        <f t="shared" si="94"/>
        <v/>
      </c>
      <c r="I597" s="21">
        <f t="shared" si="98"/>
        <v>0</v>
      </c>
      <c r="J597" s="21" t="e">
        <f t="shared" si="95"/>
        <v>#N/A</v>
      </c>
      <c r="K597" s="21" t="str">
        <f t="shared" si="99"/>
        <v/>
      </c>
    </row>
    <row r="598" spans="2:11" x14ac:dyDescent="0.25">
      <c r="B598" s="9" t="e">
        <f t="shared" si="100"/>
        <v>#N/A</v>
      </c>
      <c r="C598" s="10" t="e">
        <f t="shared" si="92"/>
        <v>#N/A</v>
      </c>
      <c r="D598" s="11" t="str">
        <f>IF(ISERROR(B598),"",bsolve($B598,$E$2,$E$4,$E$8,$E$9))</f>
        <v/>
      </c>
      <c r="E598" s="11" t="str">
        <f t="shared" si="93"/>
        <v/>
      </c>
      <c r="F598" s="11" t="str">
        <f t="shared" si="96"/>
        <v/>
      </c>
      <c r="G598" s="11" t="str">
        <f t="shared" si="97"/>
        <v/>
      </c>
      <c r="H598" s="19" t="str">
        <f t="shared" si="94"/>
        <v/>
      </c>
      <c r="I598" s="21">
        <f t="shared" si="98"/>
        <v>0</v>
      </c>
      <c r="J598" s="21" t="e">
        <f t="shared" si="95"/>
        <v>#N/A</v>
      </c>
      <c r="K598" s="21" t="str">
        <f t="shared" si="99"/>
        <v/>
      </c>
    </row>
    <row r="599" spans="2:11" x14ac:dyDescent="0.25">
      <c r="B599" s="9" t="e">
        <f t="shared" si="100"/>
        <v>#N/A</v>
      </c>
      <c r="C599" s="10" t="e">
        <f t="shared" si="92"/>
        <v>#N/A</v>
      </c>
      <c r="D599" s="11" t="str">
        <f>IF(ISERROR(B599),"",bsolve($B599,$E$2,$E$4,$E$8,$E$9))</f>
        <v/>
      </c>
      <c r="E599" s="11" t="str">
        <f t="shared" si="93"/>
        <v/>
      </c>
      <c r="F599" s="11" t="str">
        <f t="shared" si="96"/>
        <v/>
      </c>
      <c r="G599" s="11" t="str">
        <f t="shared" si="97"/>
        <v/>
      </c>
      <c r="H599" s="19" t="str">
        <f t="shared" si="94"/>
        <v/>
      </c>
      <c r="I599" s="21">
        <f t="shared" si="98"/>
        <v>0</v>
      </c>
      <c r="J599" s="21" t="e">
        <f t="shared" si="95"/>
        <v>#N/A</v>
      </c>
      <c r="K599" s="21" t="str">
        <f t="shared" si="99"/>
        <v/>
      </c>
    </row>
    <row r="600" spans="2:11" x14ac:dyDescent="0.25">
      <c r="B600" s="9" t="e">
        <f t="shared" si="100"/>
        <v>#N/A</v>
      </c>
      <c r="C600" s="10" t="e">
        <f t="shared" si="92"/>
        <v>#N/A</v>
      </c>
      <c r="D600" s="11" t="str">
        <f>IF(ISERROR(B600),"",bsolve($B600,$E$2,$E$4,$E$8,$E$9))</f>
        <v/>
      </c>
      <c r="E600" s="11" t="str">
        <f t="shared" si="93"/>
        <v/>
      </c>
      <c r="F600" s="11" t="str">
        <f t="shared" si="96"/>
        <v/>
      </c>
      <c r="G600" s="11" t="str">
        <f t="shared" si="97"/>
        <v/>
      </c>
      <c r="H600" s="19" t="str">
        <f t="shared" si="94"/>
        <v/>
      </c>
      <c r="I600" s="21">
        <f t="shared" si="98"/>
        <v>0</v>
      </c>
      <c r="J600" s="21" t="e">
        <f t="shared" si="95"/>
        <v>#N/A</v>
      </c>
      <c r="K600" s="21" t="str">
        <f t="shared" si="99"/>
        <v/>
      </c>
    </row>
    <row r="601" spans="2:11" x14ac:dyDescent="0.25">
      <c r="B601" s="9" t="e">
        <f t="shared" si="100"/>
        <v>#N/A</v>
      </c>
      <c r="C601" s="10" t="e">
        <f t="shared" si="92"/>
        <v>#N/A</v>
      </c>
      <c r="D601" s="11" t="str">
        <f>IF(ISERROR(B601),"",bsolve($B601,$E$2,$E$4,$E$8,$E$9))</f>
        <v/>
      </c>
      <c r="E601" s="11" t="str">
        <f t="shared" si="93"/>
        <v/>
      </c>
      <c r="F601" s="11" t="str">
        <f t="shared" si="96"/>
        <v/>
      </c>
      <c r="G601" s="11" t="str">
        <f t="shared" si="97"/>
        <v/>
      </c>
      <c r="H601" s="19" t="str">
        <f t="shared" si="94"/>
        <v/>
      </c>
      <c r="I601" s="21">
        <f t="shared" si="98"/>
        <v>0</v>
      </c>
      <c r="J601" s="21" t="e">
        <f t="shared" si="95"/>
        <v>#N/A</v>
      </c>
      <c r="K601" s="21" t="str">
        <f t="shared" si="99"/>
        <v/>
      </c>
    </row>
    <row r="602" spans="2:11" x14ac:dyDescent="0.25">
      <c r="B602" s="9" t="e">
        <f t="shared" si="100"/>
        <v>#N/A</v>
      </c>
      <c r="C602" s="10" t="e">
        <f t="shared" si="92"/>
        <v>#N/A</v>
      </c>
      <c r="D602" s="11" t="str">
        <f>IF(ISERROR(B602),"",bsolve($B602,$E$2,$E$4,$E$8,$E$9))</f>
        <v/>
      </c>
      <c r="E602" s="11" t="str">
        <f t="shared" si="93"/>
        <v/>
      </c>
      <c r="F602" s="11" t="str">
        <f t="shared" si="96"/>
        <v/>
      </c>
      <c r="G602" s="11" t="str">
        <f t="shared" si="97"/>
        <v/>
      </c>
      <c r="H602" s="19" t="str">
        <f t="shared" si="94"/>
        <v/>
      </c>
      <c r="I602" s="21">
        <f t="shared" si="98"/>
        <v>0</v>
      </c>
      <c r="J602" s="21" t="e">
        <f t="shared" si="95"/>
        <v>#N/A</v>
      </c>
      <c r="K602" s="21" t="str">
        <f t="shared" si="99"/>
        <v/>
      </c>
    </row>
    <row r="603" spans="2:11" x14ac:dyDescent="0.25">
      <c r="B603" s="9" t="e">
        <f t="shared" si="100"/>
        <v>#N/A</v>
      </c>
      <c r="C603" s="10" t="e">
        <f t="shared" si="92"/>
        <v>#N/A</v>
      </c>
      <c r="D603" s="11" t="str">
        <f>IF(ISERROR(B603),"",bsolve($B603,$E$2,$E$4,$E$8,$E$9))</f>
        <v/>
      </c>
      <c r="E603" s="11" t="str">
        <f t="shared" si="93"/>
        <v/>
      </c>
      <c r="F603" s="11" t="str">
        <f t="shared" si="96"/>
        <v/>
      </c>
      <c r="G603" s="11" t="str">
        <f t="shared" si="97"/>
        <v/>
      </c>
      <c r="H603" s="19" t="str">
        <f t="shared" si="94"/>
        <v/>
      </c>
      <c r="I603" s="21">
        <f t="shared" si="98"/>
        <v>0</v>
      </c>
      <c r="J603" s="21" t="e">
        <f t="shared" si="95"/>
        <v>#N/A</v>
      </c>
      <c r="K603" s="21" t="str">
        <f t="shared" si="99"/>
        <v/>
      </c>
    </row>
    <row r="604" spans="2:11" x14ac:dyDescent="0.25">
      <c r="B604" s="9" t="e">
        <f t="shared" si="100"/>
        <v>#N/A</v>
      </c>
      <c r="C604" s="10" t="e">
        <f t="shared" si="92"/>
        <v>#N/A</v>
      </c>
      <c r="D604" s="11" t="str">
        <f>IF(ISERROR(B604),"",bsolve($B604,$E$2,$E$4,$E$8,$E$9))</f>
        <v/>
      </c>
      <c r="E604" s="11" t="str">
        <f t="shared" si="93"/>
        <v/>
      </c>
      <c r="F604" s="11" t="str">
        <f t="shared" si="96"/>
        <v/>
      </c>
      <c r="G604" s="11" t="str">
        <f t="shared" si="97"/>
        <v/>
      </c>
      <c r="H604" s="19" t="str">
        <f t="shared" si="94"/>
        <v/>
      </c>
      <c r="I604" s="21">
        <f t="shared" si="98"/>
        <v>0</v>
      </c>
      <c r="J604" s="21" t="e">
        <f t="shared" si="95"/>
        <v>#N/A</v>
      </c>
      <c r="K604" s="21" t="str">
        <f t="shared" si="99"/>
        <v/>
      </c>
    </row>
    <row r="605" spans="2:11" x14ac:dyDescent="0.25">
      <c r="B605" s="9" t="e">
        <f t="shared" si="100"/>
        <v>#N/A</v>
      </c>
      <c r="C605" s="10" t="e">
        <f t="shared" si="92"/>
        <v>#N/A</v>
      </c>
      <c r="D605" s="11" t="str">
        <f>IF(ISERROR(B605),"",bsolve($B605,$E$2,$E$4,$E$8,$E$9))</f>
        <v/>
      </c>
      <c r="E605" s="11" t="str">
        <f t="shared" si="93"/>
        <v/>
      </c>
      <c r="F605" s="11" t="str">
        <f t="shared" si="96"/>
        <v/>
      </c>
      <c r="G605" s="11" t="str">
        <f t="shared" si="97"/>
        <v/>
      </c>
      <c r="H605" s="19" t="str">
        <f t="shared" si="94"/>
        <v/>
      </c>
      <c r="I605" s="21">
        <f t="shared" si="98"/>
        <v>0</v>
      </c>
      <c r="J605" s="21" t="e">
        <f t="shared" si="95"/>
        <v>#N/A</v>
      </c>
      <c r="K605" s="21" t="str">
        <f t="shared" si="99"/>
        <v/>
      </c>
    </row>
    <row r="606" spans="2:11" x14ac:dyDescent="0.25">
      <c r="B606" s="9" t="e">
        <f t="shared" si="100"/>
        <v>#N/A</v>
      </c>
      <c r="C606" s="10" t="e">
        <f t="shared" si="92"/>
        <v>#N/A</v>
      </c>
      <c r="D606" s="11" t="str">
        <f>IF(ISERROR(B606),"",bsolve($B606,$E$2,$E$4,$E$8,$E$9))</f>
        <v/>
      </c>
      <c r="E606" s="11" t="str">
        <f t="shared" si="93"/>
        <v/>
      </c>
      <c r="F606" s="11" t="str">
        <f t="shared" si="96"/>
        <v/>
      </c>
      <c r="G606" s="11" t="str">
        <f t="shared" si="97"/>
        <v/>
      </c>
      <c r="H606" s="19" t="str">
        <f t="shared" si="94"/>
        <v/>
      </c>
      <c r="I606" s="21">
        <f t="shared" si="98"/>
        <v>0</v>
      </c>
      <c r="J606" s="21" t="e">
        <f t="shared" si="95"/>
        <v>#N/A</v>
      </c>
      <c r="K606" s="21" t="str">
        <f t="shared" si="99"/>
        <v/>
      </c>
    </row>
    <row r="607" spans="2:11" x14ac:dyDescent="0.25">
      <c r="B607" s="9" t="e">
        <f t="shared" si="100"/>
        <v>#N/A</v>
      </c>
      <c r="C607" s="10" t="e">
        <f t="shared" si="92"/>
        <v>#N/A</v>
      </c>
      <c r="D607" s="11" t="str">
        <f>IF(ISERROR(B607),"",bsolve($B607,$E$2,$E$4,$E$8,$E$9))</f>
        <v/>
      </c>
      <c r="E607" s="11" t="str">
        <f t="shared" si="93"/>
        <v/>
      </c>
      <c r="F607" s="11" t="str">
        <f t="shared" si="96"/>
        <v/>
      </c>
      <c r="G607" s="11" t="str">
        <f t="shared" si="97"/>
        <v/>
      </c>
      <c r="H607" s="19" t="str">
        <f t="shared" si="94"/>
        <v/>
      </c>
      <c r="I607" s="21">
        <f t="shared" si="98"/>
        <v>0</v>
      </c>
      <c r="J607" s="21" t="e">
        <f t="shared" si="95"/>
        <v>#N/A</v>
      </c>
      <c r="K607" s="21" t="str">
        <f t="shared" si="99"/>
        <v/>
      </c>
    </row>
    <row r="608" spans="2:11" x14ac:dyDescent="0.25">
      <c r="B608" s="9" t="e">
        <f t="shared" si="100"/>
        <v>#N/A</v>
      </c>
      <c r="C608" s="10" t="e">
        <f t="shared" si="92"/>
        <v>#N/A</v>
      </c>
      <c r="D608" s="11" t="str">
        <f>IF(ISERROR(B608),"",bsolve($B608,$E$2,$E$4,$E$8,$E$9))</f>
        <v/>
      </c>
      <c r="E608" s="11" t="str">
        <f t="shared" si="93"/>
        <v/>
      </c>
      <c r="F608" s="11" t="str">
        <f t="shared" si="96"/>
        <v/>
      </c>
      <c r="G608" s="11" t="str">
        <f t="shared" si="97"/>
        <v/>
      </c>
      <c r="H608" s="19" t="str">
        <f t="shared" si="94"/>
        <v/>
      </c>
      <c r="I608" s="21">
        <f t="shared" si="98"/>
        <v>0</v>
      </c>
      <c r="J608" s="21" t="e">
        <f t="shared" si="95"/>
        <v>#N/A</v>
      </c>
      <c r="K608" s="21" t="str">
        <f t="shared" si="99"/>
        <v/>
      </c>
    </row>
    <row r="609" spans="2:11" x14ac:dyDescent="0.25">
      <c r="B609" s="9" t="e">
        <f t="shared" si="100"/>
        <v>#N/A</v>
      </c>
      <c r="C609" s="10" t="e">
        <f t="shared" si="92"/>
        <v>#N/A</v>
      </c>
      <c r="D609" s="11" t="str">
        <f>IF(ISERROR(B609),"",bsolve($B609,$E$2,$E$4,$E$8,$E$9))</f>
        <v/>
      </c>
      <c r="E609" s="11" t="str">
        <f t="shared" si="93"/>
        <v/>
      </c>
      <c r="F609" s="11" t="str">
        <f t="shared" si="96"/>
        <v/>
      </c>
      <c r="G609" s="11" t="str">
        <f t="shared" si="97"/>
        <v/>
      </c>
      <c r="H609" s="19" t="str">
        <f t="shared" si="94"/>
        <v/>
      </c>
      <c r="I609" s="21">
        <f t="shared" si="98"/>
        <v>0</v>
      </c>
      <c r="J609" s="21" t="e">
        <f t="shared" si="95"/>
        <v>#N/A</v>
      </c>
      <c r="K609" s="21" t="str">
        <f t="shared" si="99"/>
        <v/>
      </c>
    </row>
    <row r="610" spans="2:11" x14ac:dyDescent="0.25">
      <c r="B610" s="9" t="e">
        <f t="shared" si="100"/>
        <v>#N/A</v>
      </c>
      <c r="C610" s="10" t="e">
        <f t="shared" si="92"/>
        <v>#N/A</v>
      </c>
      <c r="D610" s="11" t="str">
        <f>IF(ISERROR(B610),"",bsolve($B610,$E$2,$E$4,$E$8,$E$9))</f>
        <v/>
      </c>
      <c r="E610" s="11" t="str">
        <f t="shared" si="93"/>
        <v/>
      </c>
      <c r="F610" s="11" t="str">
        <f t="shared" si="96"/>
        <v/>
      </c>
      <c r="G610" s="11" t="str">
        <f t="shared" si="97"/>
        <v/>
      </c>
      <c r="H610" s="19" t="str">
        <f t="shared" si="94"/>
        <v/>
      </c>
      <c r="I610" s="21">
        <f t="shared" si="98"/>
        <v>0</v>
      </c>
      <c r="J610" s="21" t="e">
        <f t="shared" si="95"/>
        <v>#N/A</v>
      </c>
      <c r="K610" s="21" t="str">
        <f t="shared" si="99"/>
        <v/>
      </c>
    </row>
    <row r="611" spans="2:11" x14ac:dyDescent="0.25">
      <c r="B611" s="9" t="e">
        <f t="shared" si="100"/>
        <v>#N/A</v>
      </c>
      <c r="C611" s="10" t="e">
        <f t="shared" si="92"/>
        <v>#N/A</v>
      </c>
      <c r="D611" s="11" t="str">
        <f>IF(ISERROR(B611),"",bsolve($B611,$E$2,$E$4,$E$8,$E$9))</f>
        <v/>
      </c>
      <c r="E611" s="11" t="str">
        <f t="shared" si="93"/>
        <v/>
      </c>
      <c r="F611" s="11" t="str">
        <f t="shared" si="96"/>
        <v/>
      </c>
      <c r="G611" s="11" t="str">
        <f t="shared" si="97"/>
        <v/>
      </c>
      <c r="H611" s="19" t="str">
        <f t="shared" si="94"/>
        <v/>
      </c>
      <c r="I611" s="21">
        <f t="shared" si="98"/>
        <v>0</v>
      </c>
      <c r="J611" s="21" t="e">
        <f t="shared" si="95"/>
        <v>#N/A</v>
      </c>
      <c r="K611" s="21" t="str">
        <f t="shared" si="99"/>
        <v/>
      </c>
    </row>
    <row r="612" spans="2:11" x14ac:dyDescent="0.25">
      <c r="B612" s="9" t="e">
        <f t="shared" si="100"/>
        <v>#N/A</v>
      </c>
      <c r="C612" s="10" t="e">
        <f t="shared" si="92"/>
        <v>#N/A</v>
      </c>
      <c r="D612" s="11" t="str">
        <f>IF(ISERROR(B612),"",bsolve($B612,$E$2,$E$4,$E$8,$E$9))</f>
        <v/>
      </c>
      <c r="E612" s="11" t="str">
        <f t="shared" si="93"/>
        <v/>
      </c>
      <c r="F612" s="11" t="str">
        <f t="shared" si="96"/>
        <v/>
      </c>
      <c r="G612" s="11" t="str">
        <f t="shared" si="97"/>
        <v/>
      </c>
      <c r="H612" s="19" t="str">
        <f t="shared" si="94"/>
        <v/>
      </c>
      <c r="I612" s="21">
        <f t="shared" si="98"/>
        <v>0</v>
      </c>
      <c r="J612" s="21" t="e">
        <f t="shared" si="95"/>
        <v>#N/A</v>
      </c>
      <c r="K612" s="21" t="str">
        <f t="shared" si="99"/>
        <v/>
      </c>
    </row>
    <row r="613" spans="2:11" x14ac:dyDescent="0.25">
      <c r="B613" s="9" t="e">
        <f t="shared" si="100"/>
        <v>#N/A</v>
      </c>
      <c r="C613" s="10" t="e">
        <f t="shared" si="92"/>
        <v>#N/A</v>
      </c>
      <c r="D613" s="11" t="str">
        <f>IF(ISERROR(B613),"",bsolve($B613,$E$2,$E$4,$E$8,$E$9))</f>
        <v/>
      </c>
      <c r="E613" s="11" t="str">
        <f t="shared" si="93"/>
        <v/>
      </c>
      <c r="F613" s="11" t="str">
        <f t="shared" si="96"/>
        <v/>
      </c>
      <c r="G613" s="11" t="str">
        <f t="shared" si="97"/>
        <v/>
      </c>
      <c r="H613" s="19" t="str">
        <f t="shared" si="94"/>
        <v/>
      </c>
      <c r="I613" s="21">
        <f t="shared" si="98"/>
        <v>0</v>
      </c>
      <c r="J613" s="21" t="e">
        <f t="shared" si="95"/>
        <v>#N/A</v>
      </c>
      <c r="K613" s="21" t="str">
        <f t="shared" si="99"/>
        <v/>
      </c>
    </row>
    <row r="614" spans="2:11" x14ac:dyDescent="0.25">
      <c r="B614" s="9" t="e">
        <f t="shared" si="100"/>
        <v>#N/A</v>
      </c>
      <c r="C614" s="10" t="e">
        <f t="shared" si="92"/>
        <v>#N/A</v>
      </c>
      <c r="D614" s="11" t="str">
        <f>IF(ISERROR(B614),"",bsolve($B614,$E$2,$E$4,$E$8,$E$9))</f>
        <v/>
      </c>
      <c r="E614" s="11" t="str">
        <f t="shared" si="93"/>
        <v/>
      </c>
      <c r="F614" s="11" t="str">
        <f t="shared" si="96"/>
        <v/>
      </c>
      <c r="G614" s="11" t="str">
        <f t="shared" si="97"/>
        <v/>
      </c>
      <c r="H614" s="19" t="str">
        <f t="shared" si="94"/>
        <v/>
      </c>
      <c r="I614" s="21">
        <f t="shared" si="98"/>
        <v>0</v>
      </c>
      <c r="J614" s="21" t="e">
        <f t="shared" si="95"/>
        <v>#N/A</v>
      </c>
      <c r="K614" s="21" t="str">
        <f t="shared" si="99"/>
        <v/>
      </c>
    </row>
    <row r="615" spans="2:11" x14ac:dyDescent="0.25">
      <c r="B615" s="9" t="e">
        <f t="shared" si="100"/>
        <v>#N/A</v>
      </c>
      <c r="C615" s="10" t="e">
        <f t="shared" si="92"/>
        <v>#N/A</v>
      </c>
      <c r="D615" s="11" t="str">
        <f>IF(ISERROR(B615),"",bsolve($B615,$E$2,$E$4,$E$8,$E$9))</f>
        <v/>
      </c>
      <c r="E615" s="11" t="str">
        <f t="shared" si="93"/>
        <v/>
      </c>
      <c r="F615" s="11" t="str">
        <f t="shared" si="96"/>
        <v/>
      </c>
      <c r="G615" s="11" t="str">
        <f t="shared" si="97"/>
        <v/>
      </c>
      <c r="H615" s="19" t="str">
        <f t="shared" si="94"/>
        <v/>
      </c>
      <c r="I615" s="21">
        <f t="shared" si="98"/>
        <v>0</v>
      </c>
      <c r="J615" s="21" t="e">
        <f t="shared" si="95"/>
        <v>#N/A</v>
      </c>
      <c r="K615" s="21" t="str">
        <f t="shared" si="99"/>
        <v/>
      </c>
    </row>
    <row r="616" spans="2:11" x14ac:dyDescent="0.25">
      <c r="B616" s="9" t="e">
        <f t="shared" si="100"/>
        <v>#N/A</v>
      </c>
      <c r="C616" s="10" t="e">
        <f t="shared" si="92"/>
        <v>#N/A</v>
      </c>
      <c r="D616" s="11" t="str">
        <f>IF(ISERROR(B616),"",bsolve($B616,$E$2,$E$4,$E$8,$E$9))</f>
        <v/>
      </c>
      <c r="E616" s="11" t="str">
        <f t="shared" si="93"/>
        <v/>
      </c>
      <c r="F616" s="11" t="str">
        <f t="shared" si="96"/>
        <v/>
      </c>
      <c r="G616" s="11" t="str">
        <f t="shared" si="97"/>
        <v/>
      </c>
      <c r="H616" s="19" t="str">
        <f t="shared" si="94"/>
        <v/>
      </c>
      <c r="I616" s="21">
        <f t="shared" si="98"/>
        <v>0</v>
      </c>
      <c r="J616" s="21" t="e">
        <f t="shared" si="95"/>
        <v>#N/A</v>
      </c>
      <c r="K616" s="21" t="str">
        <f t="shared" si="99"/>
        <v/>
      </c>
    </row>
    <row r="617" spans="2:11" x14ac:dyDescent="0.25">
      <c r="B617" s="9" t="e">
        <f t="shared" si="100"/>
        <v>#N/A</v>
      </c>
      <c r="C617" s="10" t="e">
        <f t="shared" si="92"/>
        <v>#N/A</v>
      </c>
      <c r="D617" s="11" t="str">
        <f>IF(ISERROR(B617),"",bsolve($B617,$E$2,$E$4,$E$8,$E$9))</f>
        <v/>
      </c>
      <c r="E617" s="11" t="str">
        <f t="shared" si="93"/>
        <v/>
      </c>
      <c r="F617" s="11" t="str">
        <f t="shared" si="96"/>
        <v/>
      </c>
      <c r="G617" s="11" t="str">
        <f t="shared" si="97"/>
        <v/>
      </c>
      <c r="H617" s="19" t="str">
        <f t="shared" si="94"/>
        <v/>
      </c>
      <c r="I617" s="21">
        <f t="shared" si="98"/>
        <v>0</v>
      </c>
      <c r="J617" s="21" t="e">
        <f t="shared" si="95"/>
        <v>#N/A</v>
      </c>
      <c r="K617" s="21" t="str">
        <f t="shared" si="99"/>
        <v/>
      </c>
    </row>
    <row r="618" spans="2:11" x14ac:dyDescent="0.25">
      <c r="B618" s="9" t="e">
        <f t="shared" si="100"/>
        <v>#N/A</v>
      </c>
      <c r="C618" s="10" t="e">
        <f t="shared" si="92"/>
        <v>#N/A</v>
      </c>
      <c r="D618" s="11" t="str">
        <f>IF(ISERROR(B618),"",bsolve($B618,$E$2,$E$4,$E$8,$E$9))</f>
        <v/>
      </c>
      <c r="E618" s="11" t="str">
        <f t="shared" si="93"/>
        <v/>
      </c>
      <c r="F618" s="11" t="str">
        <f t="shared" si="96"/>
        <v/>
      </c>
      <c r="G618" s="11" t="str">
        <f t="shared" si="97"/>
        <v/>
      </c>
      <c r="H618" s="19" t="str">
        <f t="shared" si="94"/>
        <v/>
      </c>
      <c r="I618" s="21">
        <f t="shared" si="98"/>
        <v>0</v>
      </c>
      <c r="J618" s="21" t="e">
        <f t="shared" si="95"/>
        <v>#N/A</v>
      </c>
      <c r="K618" s="21" t="str">
        <f t="shared" si="99"/>
        <v/>
      </c>
    </row>
    <row r="619" spans="2:11" x14ac:dyDescent="0.25">
      <c r="B619" s="9" t="e">
        <f t="shared" si="100"/>
        <v>#N/A</v>
      </c>
      <c r="C619" s="10" t="e">
        <f t="shared" si="92"/>
        <v>#N/A</v>
      </c>
      <c r="D619" s="11" t="str">
        <f>IF(ISERROR(B619),"",bsolve($B619,$E$2,$E$4,$E$8,$E$9))</f>
        <v/>
      </c>
      <c r="E619" s="11" t="str">
        <f t="shared" si="93"/>
        <v/>
      </c>
      <c r="F619" s="11" t="str">
        <f t="shared" si="96"/>
        <v/>
      </c>
      <c r="G619" s="11" t="str">
        <f t="shared" si="97"/>
        <v/>
      </c>
      <c r="H619" s="19" t="str">
        <f t="shared" si="94"/>
        <v/>
      </c>
      <c r="I619" s="21">
        <f t="shared" si="98"/>
        <v>0</v>
      </c>
      <c r="J619" s="21" t="e">
        <f t="shared" si="95"/>
        <v>#N/A</v>
      </c>
      <c r="K619" s="21" t="str">
        <f t="shared" si="99"/>
        <v/>
      </c>
    </row>
    <row r="620" spans="2:11" x14ac:dyDescent="0.25">
      <c r="B620" s="9" t="e">
        <f t="shared" si="100"/>
        <v>#N/A</v>
      </c>
      <c r="C620" s="10" t="e">
        <f t="shared" si="92"/>
        <v>#N/A</v>
      </c>
      <c r="D620" s="11" t="str">
        <f>IF(ISERROR(B620),"",bsolve($B620,$E$2,$E$4,$E$8,$E$9))</f>
        <v/>
      </c>
      <c r="E620" s="11" t="str">
        <f t="shared" si="93"/>
        <v/>
      </c>
      <c r="F620" s="11" t="str">
        <f t="shared" si="96"/>
        <v/>
      </c>
      <c r="G620" s="11" t="str">
        <f t="shared" si="97"/>
        <v/>
      </c>
      <c r="H620" s="19" t="str">
        <f t="shared" si="94"/>
        <v/>
      </c>
      <c r="I620" s="21">
        <f t="shared" si="98"/>
        <v>0</v>
      </c>
      <c r="J620" s="21" t="e">
        <f t="shared" si="95"/>
        <v>#N/A</v>
      </c>
      <c r="K620" s="21" t="str">
        <f t="shared" si="99"/>
        <v/>
      </c>
    </row>
    <row r="621" spans="2:11" x14ac:dyDescent="0.25">
      <c r="B621" s="9" t="e">
        <f t="shared" si="100"/>
        <v>#N/A</v>
      </c>
      <c r="C621" s="10" t="e">
        <f t="shared" si="92"/>
        <v>#N/A</v>
      </c>
      <c r="D621" s="11" t="str">
        <f>IF(ISERROR(B621),"",bsolve($B621,$E$2,$E$4,$E$8,$E$9))</f>
        <v/>
      </c>
      <c r="E621" s="11" t="str">
        <f t="shared" si="93"/>
        <v/>
      </c>
      <c r="F621" s="11" t="str">
        <f t="shared" si="96"/>
        <v/>
      </c>
      <c r="G621" s="11" t="str">
        <f t="shared" si="97"/>
        <v/>
      </c>
      <c r="H621" s="19" t="str">
        <f t="shared" si="94"/>
        <v/>
      </c>
      <c r="I621" s="21">
        <f t="shared" si="98"/>
        <v>0</v>
      </c>
      <c r="J621" s="21" t="e">
        <f t="shared" si="95"/>
        <v>#N/A</v>
      </c>
      <c r="K621" s="21" t="str">
        <f t="shared" si="99"/>
        <v/>
      </c>
    </row>
    <row r="622" spans="2:11" x14ac:dyDescent="0.25">
      <c r="B622" s="9" t="e">
        <f t="shared" si="100"/>
        <v>#N/A</v>
      </c>
      <c r="C622" s="10" t="e">
        <f t="shared" si="92"/>
        <v>#N/A</v>
      </c>
      <c r="D622" s="11" t="str">
        <f>IF(ISERROR(B622),"",bsolve($B622,$E$2,$E$4,$E$8,$E$9))</f>
        <v/>
      </c>
      <c r="E622" s="11" t="str">
        <f t="shared" si="93"/>
        <v/>
      </c>
      <c r="F622" s="11" t="str">
        <f t="shared" si="96"/>
        <v/>
      </c>
      <c r="G622" s="11" t="str">
        <f t="shared" si="97"/>
        <v/>
      </c>
      <c r="H622" s="19" t="str">
        <f t="shared" si="94"/>
        <v/>
      </c>
      <c r="I622" s="21">
        <f t="shared" si="98"/>
        <v>0</v>
      </c>
      <c r="J622" s="21" t="e">
        <f t="shared" si="95"/>
        <v>#N/A</v>
      </c>
      <c r="K622" s="21" t="str">
        <f t="shared" si="99"/>
        <v/>
      </c>
    </row>
    <row r="623" spans="2:11" x14ac:dyDescent="0.25">
      <c r="B623" s="9" t="e">
        <f t="shared" si="100"/>
        <v>#N/A</v>
      </c>
      <c r="C623" s="10" t="e">
        <f t="shared" si="92"/>
        <v>#N/A</v>
      </c>
      <c r="D623" s="11" t="str">
        <f>IF(ISERROR(B623),"",bsolve($B623,$E$2,$E$4,$E$8,$E$9))</f>
        <v/>
      </c>
      <c r="E623" s="11" t="str">
        <f t="shared" si="93"/>
        <v/>
      </c>
      <c r="F623" s="11" t="str">
        <f t="shared" si="96"/>
        <v/>
      </c>
      <c r="G623" s="11" t="str">
        <f t="shared" si="97"/>
        <v/>
      </c>
      <c r="H623" s="19" t="str">
        <f t="shared" si="94"/>
        <v/>
      </c>
      <c r="I623" s="21">
        <f t="shared" si="98"/>
        <v>0</v>
      </c>
      <c r="J623" s="21" t="e">
        <f t="shared" si="95"/>
        <v>#N/A</v>
      </c>
      <c r="K623" s="21" t="str">
        <f t="shared" si="99"/>
        <v/>
      </c>
    </row>
    <row r="624" spans="2:11" x14ac:dyDescent="0.25">
      <c r="B624" s="9" t="e">
        <f t="shared" si="100"/>
        <v>#N/A</v>
      </c>
      <c r="C624" s="10" t="e">
        <f t="shared" si="92"/>
        <v>#N/A</v>
      </c>
      <c r="D624" s="11" t="str">
        <f>IF(ISERROR(B624),"",bsolve($B624,$E$2,$E$4,$E$8,$E$9))</f>
        <v/>
      </c>
      <c r="E624" s="11" t="str">
        <f t="shared" si="93"/>
        <v/>
      </c>
      <c r="F624" s="11" t="str">
        <f t="shared" si="96"/>
        <v/>
      </c>
      <c r="G624" s="11" t="str">
        <f t="shared" si="97"/>
        <v/>
      </c>
      <c r="H624" s="19" t="str">
        <f t="shared" si="94"/>
        <v/>
      </c>
      <c r="I624" s="21">
        <f t="shared" si="98"/>
        <v>0</v>
      </c>
      <c r="J624" s="21" t="e">
        <f t="shared" si="95"/>
        <v>#N/A</v>
      </c>
      <c r="K624" s="21" t="str">
        <f t="shared" si="99"/>
        <v/>
      </c>
    </row>
    <row r="625" spans="2:11" x14ac:dyDescent="0.25">
      <c r="B625" s="9" t="e">
        <f t="shared" si="100"/>
        <v>#N/A</v>
      </c>
      <c r="C625" s="10" t="e">
        <f t="shared" si="92"/>
        <v>#N/A</v>
      </c>
      <c r="D625" s="11" t="str">
        <f>IF(ISERROR(B625),"",bsolve($B625,$E$2,$E$4,$E$8,$E$9))</f>
        <v/>
      </c>
      <c r="E625" s="11" t="str">
        <f t="shared" si="93"/>
        <v/>
      </c>
      <c r="F625" s="11" t="str">
        <f t="shared" si="96"/>
        <v/>
      </c>
      <c r="G625" s="11" t="str">
        <f t="shared" si="97"/>
        <v/>
      </c>
      <c r="H625" s="19" t="str">
        <f t="shared" si="94"/>
        <v/>
      </c>
      <c r="I625" s="21">
        <f t="shared" si="98"/>
        <v>0</v>
      </c>
      <c r="J625" s="21" t="e">
        <f t="shared" si="95"/>
        <v>#N/A</v>
      </c>
      <c r="K625" s="21" t="str">
        <f t="shared" si="99"/>
        <v/>
      </c>
    </row>
    <row r="626" spans="2:11" x14ac:dyDescent="0.25">
      <c r="B626" s="9" t="e">
        <f t="shared" si="100"/>
        <v>#N/A</v>
      </c>
      <c r="C626" s="10" t="e">
        <f t="shared" si="92"/>
        <v>#N/A</v>
      </c>
      <c r="D626" s="11" t="str">
        <f>IF(ISERROR(B626),"",bsolve($B626,$E$2,$E$4,$E$8,$E$9))</f>
        <v/>
      </c>
      <c r="E626" s="11" t="str">
        <f t="shared" si="93"/>
        <v/>
      </c>
      <c r="F626" s="11" t="str">
        <f t="shared" si="96"/>
        <v/>
      </c>
      <c r="G626" s="11" t="str">
        <f t="shared" si="97"/>
        <v/>
      </c>
      <c r="H626" s="19" t="str">
        <f t="shared" si="94"/>
        <v/>
      </c>
      <c r="I626" s="21">
        <f t="shared" si="98"/>
        <v>0</v>
      </c>
      <c r="J626" s="21" t="e">
        <f t="shared" si="95"/>
        <v>#N/A</v>
      </c>
      <c r="K626" s="21" t="str">
        <f t="shared" si="99"/>
        <v/>
      </c>
    </row>
    <row r="627" spans="2:11" x14ac:dyDescent="0.25">
      <c r="B627" s="9" t="e">
        <f t="shared" si="100"/>
        <v>#N/A</v>
      </c>
      <c r="C627" s="10" t="e">
        <f t="shared" si="92"/>
        <v>#N/A</v>
      </c>
      <c r="D627" s="11" t="str">
        <f>IF(ISERROR(B627),"",bsolve($B627,$E$2,$E$4,$E$8,$E$9))</f>
        <v/>
      </c>
      <c r="E627" s="11" t="str">
        <f t="shared" si="93"/>
        <v/>
      </c>
      <c r="F627" s="11" t="str">
        <f t="shared" si="96"/>
        <v/>
      </c>
      <c r="G627" s="11" t="str">
        <f t="shared" si="97"/>
        <v/>
      </c>
      <c r="H627" s="19" t="str">
        <f t="shared" si="94"/>
        <v/>
      </c>
      <c r="I627" s="21">
        <f t="shared" si="98"/>
        <v>0</v>
      </c>
      <c r="J627" s="21" t="e">
        <f t="shared" si="95"/>
        <v>#N/A</v>
      </c>
      <c r="K627" s="21" t="str">
        <f t="shared" si="99"/>
        <v/>
      </c>
    </row>
    <row r="628" spans="2:11" x14ac:dyDescent="0.25">
      <c r="B628" s="9" t="e">
        <f t="shared" si="100"/>
        <v>#N/A</v>
      </c>
      <c r="C628" s="10" t="e">
        <f t="shared" si="92"/>
        <v>#N/A</v>
      </c>
      <c r="D628" s="11" t="str">
        <f>IF(ISERROR(B628),"",bsolve($B628,$E$2,$E$4,$E$8,$E$9))</f>
        <v/>
      </c>
      <c r="E628" s="11" t="str">
        <f t="shared" si="93"/>
        <v/>
      </c>
      <c r="F628" s="11" t="str">
        <f t="shared" si="96"/>
        <v/>
      </c>
      <c r="G628" s="11" t="str">
        <f t="shared" si="97"/>
        <v/>
      </c>
      <c r="H628" s="19" t="str">
        <f t="shared" si="94"/>
        <v/>
      </c>
      <c r="I628" s="21">
        <f t="shared" si="98"/>
        <v>0</v>
      </c>
      <c r="J628" s="21" t="e">
        <f t="shared" si="95"/>
        <v>#N/A</v>
      </c>
      <c r="K628" s="21" t="str">
        <f t="shared" si="99"/>
        <v/>
      </c>
    </row>
    <row r="629" spans="2:11" x14ac:dyDescent="0.25">
      <c r="B629" s="9" t="e">
        <f t="shared" si="100"/>
        <v>#N/A</v>
      </c>
      <c r="C629" s="10" t="e">
        <f t="shared" si="92"/>
        <v>#N/A</v>
      </c>
      <c r="D629" s="11" t="str">
        <f>IF(ISERROR(B629),"",bsolve($B629,$E$2,$E$4,$E$8,$E$9))</f>
        <v/>
      </c>
      <c r="E629" s="11" t="str">
        <f t="shared" si="93"/>
        <v/>
      </c>
      <c r="F629" s="11" t="str">
        <f t="shared" si="96"/>
        <v/>
      </c>
      <c r="G629" s="11" t="str">
        <f t="shared" si="97"/>
        <v/>
      </c>
      <c r="H629" s="19" t="str">
        <f t="shared" si="94"/>
        <v/>
      </c>
      <c r="I629" s="21">
        <f t="shared" si="98"/>
        <v>0</v>
      </c>
      <c r="J629" s="21" t="e">
        <f t="shared" si="95"/>
        <v>#N/A</v>
      </c>
      <c r="K629" s="21" t="str">
        <f t="shared" si="99"/>
        <v/>
      </c>
    </row>
    <row r="630" spans="2:11" x14ac:dyDescent="0.25">
      <c r="B630" s="9" t="e">
        <f t="shared" si="100"/>
        <v>#N/A</v>
      </c>
      <c r="C630" s="10" t="e">
        <f t="shared" si="92"/>
        <v>#N/A</v>
      </c>
      <c r="D630" s="11" t="str">
        <f>IF(ISERROR(B630),"",bsolve($B630,$E$2,$E$4,$E$8,$E$9))</f>
        <v/>
      </c>
      <c r="E630" s="11" t="str">
        <f t="shared" si="93"/>
        <v/>
      </c>
      <c r="F630" s="11" t="str">
        <f t="shared" si="96"/>
        <v/>
      </c>
      <c r="G630" s="11" t="str">
        <f t="shared" si="97"/>
        <v/>
      </c>
      <c r="H630" s="19" t="str">
        <f t="shared" si="94"/>
        <v/>
      </c>
      <c r="I630" s="21">
        <f t="shared" si="98"/>
        <v>0</v>
      </c>
      <c r="J630" s="21" t="e">
        <f t="shared" si="95"/>
        <v>#N/A</v>
      </c>
      <c r="K630" s="21" t="str">
        <f t="shared" si="99"/>
        <v/>
      </c>
    </row>
    <row r="631" spans="2:11" x14ac:dyDescent="0.25">
      <c r="B631" s="9" t="e">
        <f t="shared" si="100"/>
        <v>#N/A</v>
      </c>
      <c r="C631" s="10" t="e">
        <f t="shared" si="92"/>
        <v>#N/A</v>
      </c>
      <c r="D631" s="11" t="str">
        <f>IF(ISERROR(B631),"",bsolve($B631,$E$2,$E$4,$E$8,$E$9))</f>
        <v/>
      </c>
      <c r="E631" s="11" t="str">
        <f t="shared" si="93"/>
        <v/>
      </c>
      <c r="F631" s="11" t="str">
        <f t="shared" si="96"/>
        <v/>
      </c>
      <c r="G631" s="11" t="str">
        <f t="shared" si="97"/>
        <v/>
      </c>
      <c r="H631" s="19" t="str">
        <f t="shared" si="94"/>
        <v/>
      </c>
      <c r="I631" s="21">
        <f t="shared" si="98"/>
        <v>0</v>
      </c>
      <c r="J631" s="21" t="e">
        <f t="shared" si="95"/>
        <v>#N/A</v>
      </c>
      <c r="K631" s="21" t="str">
        <f t="shared" si="99"/>
        <v/>
      </c>
    </row>
    <row r="632" spans="2:11" x14ac:dyDescent="0.25">
      <c r="B632" s="9" t="e">
        <f t="shared" si="100"/>
        <v>#N/A</v>
      </c>
      <c r="C632" s="10" t="e">
        <f t="shared" si="92"/>
        <v>#N/A</v>
      </c>
      <c r="D632" s="11" t="str">
        <f>IF(ISERROR(B632),"",bsolve($B632,$E$2,$E$4,$E$8,$E$9))</f>
        <v/>
      </c>
      <c r="E632" s="11" t="str">
        <f t="shared" si="93"/>
        <v/>
      </c>
      <c r="F632" s="11" t="str">
        <f t="shared" si="96"/>
        <v/>
      </c>
      <c r="G632" s="11" t="str">
        <f t="shared" si="97"/>
        <v/>
      </c>
      <c r="H632" s="19" t="str">
        <f t="shared" si="94"/>
        <v/>
      </c>
      <c r="I632" s="21">
        <f t="shared" si="98"/>
        <v>0</v>
      </c>
      <c r="J632" s="21" t="e">
        <f t="shared" si="95"/>
        <v>#N/A</v>
      </c>
      <c r="K632" s="21" t="str">
        <f t="shared" si="99"/>
        <v/>
      </c>
    </row>
    <row r="633" spans="2:11" x14ac:dyDescent="0.25">
      <c r="B633" s="9" t="e">
        <f t="shared" si="100"/>
        <v>#N/A</v>
      </c>
      <c r="C633" s="10" t="e">
        <f t="shared" si="92"/>
        <v>#N/A</v>
      </c>
      <c r="D633" s="11" t="str">
        <f>IF(ISERROR(B633),"",bsolve($B633,$E$2,$E$4,$E$8,$E$9))</f>
        <v/>
      </c>
      <c r="E633" s="11" t="str">
        <f t="shared" si="93"/>
        <v/>
      </c>
      <c r="F633" s="11" t="str">
        <f t="shared" si="96"/>
        <v/>
      </c>
      <c r="G633" s="11" t="str">
        <f t="shared" si="97"/>
        <v/>
      </c>
      <c r="H633" s="19" t="str">
        <f t="shared" si="94"/>
        <v/>
      </c>
      <c r="I633" s="21">
        <f t="shared" si="98"/>
        <v>0</v>
      </c>
      <c r="J633" s="21" t="e">
        <f t="shared" si="95"/>
        <v>#N/A</v>
      </c>
      <c r="K633" s="21" t="str">
        <f t="shared" si="99"/>
        <v/>
      </c>
    </row>
    <row r="634" spans="2:11" x14ac:dyDescent="0.25">
      <c r="B634" s="9" t="e">
        <f t="shared" si="100"/>
        <v>#N/A</v>
      </c>
      <c r="C634" s="10" t="e">
        <f t="shared" si="92"/>
        <v>#N/A</v>
      </c>
      <c r="D634" s="11" t="str">
        <f>IF(ISERROR(B634),"",bsolve($B634,$E$2,$E$4,$E$8,$E$9))</f>
        <v/>
      </c>
      <c r="E634" s="11" t="str">
        <f t="shared" si="93"/>
        <v/>
      </c>
      <c r="F634" s="11" t="str">
        <f t="shared" si="96"/>
        <v/>
      </c>
      <c r="G634" s="11" t="str">
        <f t="shared" si="97"/>
        <v/>
      </c>
      <c r="H634" s="19" t="str">
        <f t="shared" si="94"/>
        <v/>
      </c>
      <c r="I634" s="21">
        <f t="shared" si="98"/>
        <v>0</v>
      </c>
      <c r="J634" s="21" t="e">
        <f t="shared" si="95"/>
        <v>#N/A</v>
      </c>
      <c r="K634" s="21" t="str">
        <f t="shared" si="99"/>
        <v/>
      </c>
    </row>
    <row r="635" spans="2:11" x14ac:dyDescent="0.25">
      <c r="B635" s="9" t="e">
        <f t="shared" si="100"/>
        <v>#N/A</v>
      </c>
      <c r="C635" s="10" t="e">
        <f t="shared" si="92"/>
        <v>#N/A</v>
      </c>
      <c r="D635" s="11" t="str">
        <f>IF(ISERROR(B635),"",bsolve($B635,$E$2,$E$4,$E$8,$E$9))</f>
        <v/>
      </c>
      <c r="E635" s="11" t="str">
        <f t="shared" si="93"/>
        <v/>
      </c>
      <c r="F635" s="11" t="str">
        <f t="shared" si="96"/>
        <v/>
      </c>
      <c r="G635" s="11" t="str">
        <f t="shared" si="97"/>
        <v/>
      </c>
      <c r="H635" s="19" t="str">
        <f t="shared" si="94"/>
        <v/>
      </c>
      <c r="I635" s="21">
        <f t="shared" si="98"/>
        <v>0</v>
      </c>
      <c r="J635" s="21" t="e">
        <f t="shared" si="95"/>
        <v>#N/A</v>
      </c>
      <c r="K635" s="21" t="str">
        <f t="shared" si="99"/>
        <v/>
      </c>
    </row>
    <row r="636" spans="2:11" x14ac:dyDescent="0.25">
      <c r="B636" s="9" t="e">
        <f t="shared" si="100"/>
        <v>#N/A</v>
      </c>
      <c r="C636" s="10" t="e">
        <f t="shared" si="92"/>
        <v>#N/A</v>
      </c>
      <c r="D636" s="11" t="str">
        <f>IF(ISERROR(B636),"",bsolve($B636,$E$2,$E$4,$E$8,$E$9))</f>
        <v/>
      </c>
      <c r="E636" s="11" t="str">
        <f t="shared" si="93"/>
        <v/>
      </c>
      <c r="F636" s="11" t="str">
        <f t="shared" si="96"/>
        <v/>
      </c>
      <c r="G636" s="11" t="str">
        <f t="shared" si="97"/>
        <v/>
      </c>
      <c r="H636" s="19" t="str">
        <f t="shared" si="94"/>
        <v/>
      </c>
      <c r="I636" s="21">
        <f t="shared" si="98"/>
        <v>0</v>
      </c>
      <c r="J636" s="21" t="e">
        <f t="shared" si="95"/>
        <v>#N/A</v>
      </c>
      <c r="K636" s="21" t="str">
        <f t="shared" si="99"/>
        <v/>
      </c>
    </row>
    <row r="637" spans="2:11" x14ac:dyDescent="0.25">
      <c r="B637" s="9" t="e">
        <f t="shared" si="100"/>
        <v>#N/A</v>
      </c>
      <c r="C637" s="10" t="e">
        <f t="shared" si="92"/>
        <v>#N/A</v>
      </c>
      <c r="D637" s="11" t="str">
        <f>IF(ISERROR(B637),"",bsolve($B637,$E$2,$E$4,$E$8,$E$9))</f>
        <v/>
      </c>
      <c r="E637" s="11" t="str">
        <f t="shared" si="93"/>
        <v/>
      </c>
      <c r="F637" s="11" t="str">
        <f t="shared" si="96"/>
        <v/>
      </c>
      <c r="G637" s="11" t="str">
        <f t="shared" si="97"/>
        <v/>
      </c>
      <c r="H637" s="19" t="str">
        <f t="shared" si="94"/>
        <v/>
      </c>
      <c r="I637" s="21">
        <f t="shared" si="98"/>
        <v>0</v>
      </c>
      <c r="J637" s="21" t="e">
        <f t="shared" si="95"/>
        <v>#N/A</v>
      </c>
      <c r="K637" s="21" t="str">
        <f t="shared" si="99"/>
        <v/>
      </c>
    </row>
    <row r="638" spans="2:11" x14ac:dyDescent="0.25">
      <c r="B638" s="9" t="e">
        <f t="shared" si="100"/>
        <v>#N/A</v>
      </c>
      <c r="C638" s="10" t="e">
        <f t="shared" si="92"/>
        <v>#N/A</v>
      </c>
      <c r="D638" s="11" t="str">
        <f>IF(ISERROR(B638),"",bsolve($B638,$E$2,$E$4,$E$8,$E$9))</f>
        <v/>
      </c>
      <c r="E638" s="11" t="str">
        <f t="shared" si="93"/>
        <v/>
      </c>
      <c r="F638" s="11" t="str">
        <f t="shared" si="96"/>
        <v/>
      </c>
      <c r="G638" s="11" t="str">
        <f t="shared" si="97"/>
        <v/>
      </c>
      <c r="H638" s="19" t="str">
        <f t="shared" si="94"/>
        <v/>
      </c>
      <c r="I638" s="21">
        <f t="shared" si="98"/>
        <v>0</v>
      </c>
      <c r="J638" s="21" t="e">
        <f t="shared" si="95"/>
        <v>#N/A</v>
      </c>
      <c r="K638" s="21" t="str">
        <f t="shared" si="99"/>
        <v/>
      </c>
    </row>
    <row r="639" spans="2:11" x14ac:dyDescent="0.25">
      <c r="B639" s="9" t="e">
        <f t="shared" si="100"/>
        <v>#N/A</v>
      </c>
      <c r="C639" s="10" t="e">
        <f t="shared" si="92"/>
        <v>#N/A</v>
      </c>
      <c r="D639" s="11" t="str">
        <f>IF(ISERROR(B639),"",bsolve($B639,$E$2,$E$4,$E$8,$E$9))</f>
        <v/>
      </c>
      <c r="E639" s="11" t="str">
        <f t="shared" si="93"/>
        <v/>
      </c>
      <c r="F639" s="11" t="str">
        <f t="shared" si="96"/>
        <v/>
      </c>
      <c r="G639" s="11" t="str">
        <f t="shared" si="97"/>
        <v/>
      </c>
      <c r="H639" s="19" t="str">
        <f t="shared" si="94"/>
        <v/>
      </c>
      <c r="I639" s="21">
        <f t="shared" si="98"/>
        <v>0</v>
      </c>
      <c r="J639" s="21" t="e">
        <f t="shared" si="95"/>
        <v>#N/A</v>
      </c>
      <c r="K639" s="21" t="str">
        <f t="shared" si="99"/>
        <v/>
      </c>
    </row>
    <row r="640" spans="2:11" x14ac:dyDescent="0.25">
      <c r="B640" s="9" t="e">
        <f t="shared" si="100"/>
        <v>#N/A</v>
      </c>
      <c r="C640" s="10" t="e">
        <f t="shared" si="92"/>
        <v>#N/A</v>
      </c>
      <c r="D640" s="11" t="str">
        <f>IF(ISERROR(B640),"",bsolve($B640,$E$2,$E$4,$E$8,$E$9))</f>
        <v/>
      </c>
      <c r="E640" s="11" t="str">
        <f t="shared" si="93"/>
        <v/>
      </c>
      <c r="F640" s="11" t="str">
        <f t="shared" si="96"/>
        <v/>
      </c>
      <c r="G640" s="11" t="str">
        <f t="shared" si="97"/>
        <v/>
      </c>
      <c r="H640" s="19" t="str">
        <f t="shared" si="94"/>
        <v/>
      </c>
      <c r="I640" s="21">
        <f t="shared" si="98"/>
        <v>0</v>
      </c>
      <c r="J640" s="21" t="e">
        <f t="shared" si="95"/>
        <v>#N/A</v>
      </c>
      <c r="K640" s="21" t="str">
        <f t="shared" si="99"/>
        <v/>
      </c>
    </row>
    <row r="641" spans="2:11" x14ac:dyDescent="0.25">
      <c r="B641" s="9" t="e">
        <f t="shared" si="100"/>
        <v>#N/A</v>
      </c>
      <c r="C641" s="10" t="e">
        <f t="shared" si="92"/>
        <v>#N/A</v>
      </c>
      <c r="D641" s="11" t="str">
        <f>IF(ISERROR(B641),"",bsolve($B641,$E$2,$E$4,$E$8,$E$9))</f>
        <v/>
      </c>
      <c r="E641" s="11" t="str">
        <f t="shared" si="93"/>
        <v/>
      </c>
      <c r="F641" s="11" t="str">
        <f t="shared" si="96"/>
        <v/>
      </c>
      <c r="G641" s="11" t="str">
        <f t="shared" si="97"/>
        <v/>
      </c>
      <c r="H641" s="19" t="str">
        <f t="shared" si="94"/>
        <v/>
      </c>
      <c r="I641" s="21">
        <f t="shared" si="98"/>
        <v>0</v>
      </c>
      <c r="J641" s="21" t="e">
        <f t="shared" si="95"/>
        <v>#N/A</v>
      </c>
      <c r="K641" s="21" t="str">
        <f t="shared" si="99"/>
        <v/>
      </c>
    </row>
    <row r="642" spans="2:11" x14ac:dyDescent="0.25">
      <c r="B642" s="9" t="e">
        <f t="shared" si="100"/>
        <v>#N/A</v>
      </c>
      <c r="C642" s="10" t="e">
        <f t="shared" si="92"/>
        <v>#N/A</v>
      </c>
      <c r="D642" s="11" t="str">
        <f>IF(ISERROR(B642),"",bsolve($B642,$E$2,$E$4,$E$8,$E$9))</f>
        <v/>
      </c>
      <c r="E642" s="11" t="str">
        <f t="shared" si="93"/>
        <v/>
      </c>
      <c r="F642" s="11" t="str">
        <f t="shared" si="96"/>
        <v/>
      </c>
      <c r="G642" s="11" t="str">
        <f t="shared" si="97"/>
        <v/>
      </c>
      <c r="H642" s="19" t="str">
        <f t="shared" si="94"/>
        <v/>
      </c>
      <c r="I642" s="21">
        <f t="shared" si="98"/>
        <v>0</v>
      </c>
      <c r="J642" s="21" t="e">
        <f t="shared" si="95"/>
        <v>#N/A</v>
      </c>
      <c r="K642" s="21" t="str">
        <f t="shared" si="99"/>
        <v/>
      </c>
    </row>
    <row r="643" spans="2:11" x14ac:dyDescent="0.25">
      <c r="B643" s="9" t="e">
        <f t="shared" si="100"/>
        <v>#N/A</v>
      </c>
      <c r="C643" s="10" t="e">
        <f t="shared" si="92"/>
        <v>#N/A</v>
      </c>
      <c r="D643" s="11" t="str">
        <f>IF(ISERROR(B643),"",bsolve($B643,$E$2,$E$4,$E$8,$E$9))</f>
        <v/>
      </c>
      <c r="E643" s="11" t="str">
        <f t="shared" si="93"/>
        <v/>
      </c>
      <c r="F643" s="11" t="str">
        <f t="shared" si="96"/>
        <v/>
      </c>
      <c r="G643" s="11" t="str">
        <f t="shared" si="97"/>
        <v/>
      </c>
      <c r="H643" s="19" t="str">
        <f t="shared" si="94"/>
        <v/>
      </c>
      <c r="I643" s="21">
        <f t="shared" si="98"/>
        <v>0</v>
      </c>
      <c r="J643" s="21" t="e">
        <f t="shared" si="95"/>
        <v>#N/A</v>
      </c>
      <c r="K643" s="21" t="str">
        <f t="shared" si="99"/>
        <v/>
      </c>
    </row>
    <row r="644" spans="2:11" x14ac:dyDescent="0.25">
      <c r="B644" s="9" t="e">
        <f t="shared" si="100"/>
        <v>#N/A</v>
      </c>
      <c r="C644" s="10" t="e">
        <f t="shared" si="92"/>
        <v>#N/A</v>
      </c>
      <c r="D644" s="11" t="str">
        <f>IF(ISERROR(B644),"",bsolve($B644,$E$2,$E$4,$E$8,$E$9))</f>
        <v/>
      </c>
      <c r="E644" s="11" t="str">
        <f t="shared" si="93"/>
        <v/>
      </c>
      <c r="F644" s="11" t="str">
        <f t="shared" si="96"/>
        <v/>
      </c>
      <c r="G644" s="11" t="str">
        <f t="shared" si="97"/>
        <v/>
      </c>
      <c r="H644" s="19" t="str">
        <f t="shared" si="94"/>
        <v/>
      </c>
      <c r="I644" s="21">
        <f t="shared" si="98"/>
        <v>0</v>
      </c>
      <c r="J644" s="21" t="e">
        <f t="shared" si="95"/>
        <v>#N/A</v>
      </c>
      <c r="K644" s="21" t="str">
        <f t="shared" si="99"/>
        <v/>
      </c>
    </row>
    <row r="645" spans="2:11" x14ac:dyDescent="0.25">
      <c r="B645" s="9" t="e">
        <f t="shared" si="100"/>
        <v>#N/A</v>
      </c>
      <c r="C645" s="10" t="e">
        <f t="shared" si="92"/>
        <v>#N/A</v>
      </c>
      <c r="D645" s="11" t="str">
        <f>IF(ISERROR(B645),"",bsolve($B645,$E$2,$E$4,$E$8,$E$9))</f>
        <v/>
      </c>
      <c r="E645" s="11" t="str">
        <f t="shared" si="93"/>
        <v/>
      </c>
      <c r="F645" s="11" t="str">
        <f t="shared" si="96"/>
        <v/>
      </c>
      <c r="G645" s="11" t="str">
        <f t="shared" si="97"/>
        <v/>
      </c>
      <c r="H645" s="19" t="str">
        <f t="shared" si="94"/>
        <v/>
      </c>
      <c r="I645" s="21">
        <f t="shared" si="98"/>
        <v>0</v>
      </c>
      <c r="J645" s="21" t="e">
        <f t="shared" si="95"/>
        <v>#N/A</v>
      </c>
      <c r="K645" s="21" t="str">
        <f t="shared" si="99"/>
        <v/>
      </c>
    </row>
    <row r="646" spans="2:11" x14ac:dyDescent="0.25">
      <c r="B646" s="9" t="e">
        <f t="shared" si="100"/>
        <v>#N/A</v>
      </c>
      <c r="C646" s="10" t="e">
        <f t="shared" si="92"/>
        <v>#N/A</v>
      </c>
      <c r="D646" s="11" t="str">
        <f>IF(ISERROR(B646),"",bsolve($B646,$E$2,$E$4,$E$8,$E$9))</f>
        <v/>
      </c>
      <c r="E646" s="11" t="str">
        <f t="shared" si="93"/>
        <v/>
      </c>
      <c r="F646" s="11" t="str">
        <f t="shared" si="96"/>
        <v/>
      </c>
      <c r="G646" s="11" t="str">
        <f t="shared" si="97"/>
        <v/>
      </c>
      <c r="H646" s="19" t="str">
        <f t="shared" si="94"/>
        <v/>
      </c>
      <c r="I646" s="21">
        <f t="shared" si="98"/>
        <v>0</v>
      </c>
      <c r="J646" s="21" t="e">
        <f t="shared" si="95"/>
        <v>#N/A</v>
      </c>
      <c r="K646" s="21" t="str">
        <f t="shared" si="99"/>
        <v/>
      </c>
    </row>
    <row r="647" spans="2:11" x14ac:dyDescent="0.25">
      <c r="B647" s="9" t="e">
        <f t="shared" si="100"/>
        <v>#N/A</v>
      </c>
      <c r="C647" s="10" t="e">
        <f t="shared" si="92"/>
        <v>#N/A</v>
      </c>
      <c r="D647" s="11" t="str">
        <f>IF(ISERROR(B647),"",bsolve($B647,$E$2,$E$4,$E$8,$E$9))</f>
        <v/>
      </c>
      <c r="E647" s="11" t="str">
        <f t="shared" si="93"/>
        <v/>
      </c>
      <c r="F647" s="11" t="str">
        <f t="shared" si="96"/>
        <v/>
      </c>
      <c r="G647" s="11" t="str">
        <f t="shared" si="97"/>
        <v/>
      </c>
      <c r="H647" s="19" t="str">
        <f t="shared" si="94"/>
        <v/>
      </c>
      <c r="I647" s="21">
        <f t="shared" si="98"/>
        <v>0</v>
      </c>
      <c r="J647" s="21" t="e">
        <f t="shared" si="95"/>
        <v>#N/A</v>
      </c>
      <c r="K647" s="21" t="str">
        <f t="shared" si="99"/>
        <v/>
      </c>
    </row>
    <row r="648" spans="2:11" x14ac:dyDescent="0.25">
      <c r="B648" s="9" t="e">
        <f t="shared" si="100"/>
        <v>#N/A</v>
      </c>
      <c r="C648" s="10" t="e">
        <f t="shared" si="92"/>
        <v>#N/A</v>
      </c>
      <c r="D648" s="11" t="str">
        <f>IF(ISERROR(B648),"",bsolve($B648,$E$2,$E$4,$E$8,$E$9))</f>
        <v/>
      </c>
      <c r="E648" s="11" t="str">
        <f t="shared" si="93"/>
        <v/>
      </c>
      <c r="F648" s="11" t="str">
        <f t="shared" si="96"/>
        <v/>
      </c>
      <c r="G648" s="11" t="str">
        <f t="shared" si="97"/>
        <v/>
      </c>
      <c r="H648" s="19" t="str">
        <f t="shared" si="94"/>
        <v/>
      </c>
      <c r="I648" s="21">
        <f t="shared" si="98"/>
        <v>0</v>
      </c>
      <c r="J648" s="21" t="e">
        <f t="shared" si="95"/>
        <v>#N/A</v>
      </c>
      <c r="K648" s="21" t="str">
        <f t="shared" si="99"/>
        <v/>
      </c>
    </row>
    <row r="649" spans="2:11" x14ac:dyDescent="0.25">
      <c r="B649" s="9" t="e">
        <f t="shared" si="100"/>
        <v>#N/A</v>
      </c>
      <c r="C649" s="10" t="e">
        <f t="shared" si="92"/>
        <v>#N/A</v>
      </c>
      <c r="D649" s="11" t="str">
        <f>IF(ISERROR(B649),"",bsolve($B649,$E$2,$E$4,$E$8,$E$9))</f>
        <v/>
      </c>
      <c r="E649" s="11" t="str">
        <f t="shared" si="93"/>
        <v/>
      </c>
      <c r="F649" s="11" t="str">
        <f t="shared" si="96"/>
        <v/>
      </c>
      <c r="G649" s="11" t="str">
        <f t="shared" si="97"/>
        <v/>
      </c>
      <c r="H649" s="19" t="str">
        <f t="shared" si="94"/>
        <v/>
      </c>
      <c r="I649" s="21">
        <f t="shared" si="98"/>
        <v>0</v>
      </c>
      <c r="J649" s="21" t="e">
        <f t="shared" si="95"/>
        <v>#N/A</v>
      </c>
      <c r="K649" s="21" t="str">
        <f t="shared" si="99"/>
        <v/>
      </c>
    </row>
    <row r="650" spans="2:11" x14ac:dyDescent="0.25">
      <c r="B650" s="9" t="e">
        <f t="shared" si="100"/>
        <v>#N/A</v>
      </c>
      <c r="C650" s="10" t="e">
        <f t="shared" si="92"/>
        <v>#N/A</v>
      </c>
      <c r="D650" s="11" t="str">
        <f>IF(ISERROR(B650),"",bsolve($B650,$E$2,$E$4,$E$8,$E$9))</f>
        <v/>
      </c>
      <c r="E650" s="11" t="str">
        <f t="shared" si="93"/>
        <v/>
      </c>
      <c r="F650" s="11" t="str">
        <f t="shared" si="96"/>
        <v/>
      </c>
      <c r="G650" s="11" t="str">
        <f t="shared" si="97"/>
        <v/>
      </c>
      <c r="H650" s="19" t="str">
        <f t="shared" si="94"/>
        <v/>
      </c>
      <c r="I650" s="21">
        <f t="shared" si="98"/>
        <v>0</v>
      </c>
      <c r="J650" s="21" t="e">
        <f t="shared" si="95"/>
        <v>#N/A</v>
      </c>
      <c r="K650" s="21" t="str">
        <f t="shared" si="99"/>
        <v/>
      </c>
    </row>
    <row r="651" spans="2:11" x14ac:dyDescent="0.25">
      <c r="B651" s="9" t="e">
        <f t="shared" si="100"/>
        <v>#N/A</v>
      </c>
      <c r="C651" s="10" t="e">
        <f t="shared" si="92"/>
        <v>#N/A</v>
      </c>
      <c r="D651" s="11" t="str">
        <f>IF(ISERROR(B651),"",bsolve($B651,$E$2,$E$4,$E$8,$E$9))</f>
        <v/>
      </c>
      <c r="E651" s="11" t="str">
        <f t="shared" si="93"/>
        <v/>
      </c>
      <c r="F651" s="11" t="str">
        <f t="shared" si="96"/>
        <v/>
      </c>
      <c r="G651" s="11" t="str">
        <f t="shared" si="97"/>
        <v/>
      </c>
      <c r="H651" s="19" t="str">
        <f t="shared" si="94"/>
        <v/>
      </c>
      <c r="I651" s="21">
        <f t="shared" si="98"/>
        <v>0</v>
      </c>
      <c r="J651" s="21" t="e">
        <f t="shared" si="95"/>
        <v>#N/A</v>
      </c>
      <c r="K651" s="21" t="str">
        <f t="shared" si="99"/>
        <v/>
      </c>
    </row>
    <row r="652" spans="2:11" x14ac:dyDescent="0.25">
      <c r="B652" s="9" t="e">
        <f t="shared" si="100"/>
        <v>#N/A</v>
      </c>
      <c r="C652" s="10" t="e">
        <f t="shared" si="92"/>
        <v>#N/A</v>
      </c>
      <c r="D652" s="11" t="str">
        <f>IF(ISERROR(B652),"",bsolve($B652,$E$2,$E$4,$E$8,$E$9))</f>
        <v/>
      </c>
      <c r="E652" s="11" t="str">
        <f t="shared" si="93"/>
        <v/>
      </c>
      <c r="F652" s="11" t="str">
        <f t="shared" si="96"/>
        <v/>
      </c>
      <c r="G652" s="11" t="str">
        <f t="shared" si="97"/>
        <v/>
      </c>
      <c r="H652" s="19" t="str">
        <f t="shared" si="94"/>
        <v/>
      </c>
      <c r="I652" s="21">
        <f t="shared" si="98"/>
        <v>0</v>
      </c>
      <c r="J652" s="21" t="e">
        <f t="shared" si="95"/>
        <v>#N/A</v>
      </c>
      <c r="K652" s="21" t="str">
        <f t="shared" si="99"/>
        <v/>
      </c>
    </row>
    <row r="653" spans="2:11" x14ac:dyDescent="0.25">
      <c r="B653" s="9" t="e">
        <f t="shared" si="100"/>
        <v>#N/A</v>
      </c>
      <c r="C653" s="10" t="e">
        <f t="shared" si="92"/>
        <v>#N/A</v>
      </c>
      <c r="D653" s="11" t="str">
        <f>IF(ISERROR(B653),"",bsolve($B653,$E$2,$E$4,$E$8,$E$9))</f>
        <v/>
      </c>
      <c r="E653" s="11" t="str">
        <f t="shared" si="93"/>
        <v/>
      </c>
      <c r="F653" s="11" t="str">
        <f t="shared" si="96"/>
        <v/>
      </c>
      <c r="G653" s="11" t="str">
        <f t="shared" si="97"/>
        <v/>
      </c>
      <c r="H653" s="19" t="str">
        <f t="shared" si="94"/>
        <v/>
      </c>
      <c r="I653" s="21">
        <f t="shared" si="98"/>
        <v>0</v>
      </c>
      <c r="J653" s="21" t="e">
        <f t="shared" si="95"/>
        <v>#N/A</v>
      </c>
      <c r="K653" s="21" t="str">
        <f t="shared" si="99"/>
        <v/>
      </c>
    </row>
    <row r="654" spans="2:11" x14ac:dyDescent="0.25">
      <c r="B654" s="9" t="e">
        <f t="shared" si="100"/>
        <v>#N/A</v>
      </c>
      <c r="C654" s="10" t="e">
        <f t="shared" si="92"/>
        <v>#N/A</v>
      </c>
      <c r="D654" s="11" t="str">
        <f>IF(ISERROR(B654),"",bsolve($B654,$E$2,$E$4,$E$8,$E$9))</f>
        <v/>
      </c>
      <c r="E654" s="11" t="str">
        <f t="shared" si="93"/>
        <v/>
      </c>
      <c r="F654" s="11" t="str">
        <f t="shared" si="96"/>
        <v/>
      </c>
      <c r="G654" s="11" t="str">
        <f t="shared" si="97"/>
        <v/>
      </c>
      <c r="H654" s="19" t="str">
        <f t="shared" si="94"/>
        <v/>
      </c>
      <c r="I654" s="21">
        <f t="shared" si="98"/>
        <v>0</v>
      </c>
      <c r="J654" s="21" t="e">
        <f t="shared" si="95"/>
        <v>#N/A</v>
      </c>
      <c r="K654" s="21" t="str">
        <f t="shared" si="99"/>
        <v/>
      </c>
    </row>
    <row r="655" spans="2:11" x14ac:dyDescent="0.25">
      <c r="B655" s="9" t="e">
        <f t="shared" si="100"/>
        <v>#N/A</v>
      </c>
      <c r="C655" s="10" t="e">
        <f t="shared" si="92"/>
        <v>#N/A</v>
      </c>
      <c r="D655" s="11" t="str">
        <f>IF(ISERROR(B655),"",bsolve($B655,$E$2,$E$4,$E$8,$E$9))</f>
        <v/>
      </c>
      <c r="E655" s="11" t="str">
        <f t="shared" si="93"/>
        <v/>
      </c>
      <c r="F655" s="11" t="str">
        <f t="shared" si="96"/>
        <v/>
      </c>
      <c r="G655" s="11" t="str">
        <f t="shared" si="97"/>
        <v/>
      </c>
      <c r="H655" s="19" t="str">
        <f t="shared" si="94"/>
        <v/>
      </c>
      <c r="I655" s="21">
        <f t="shared" si="98"/>
        <v>0</v>
      </c>
      <c r="J655" s="21" t="e">
        <f t="shared" si="95"/>
        <v>#N/A</v>
      </c>
      <c r="K655" s="21" t="str">
        <f t="shared" si="99"/>
        <v/>
      </c>
    </row>
    <row r="656" spans="2:11" x14ac:dyDescent="0.25">
      <c r="B656" s="9" t="e">
        <f t="shared" si="100"/>
        <v>#N/A</v>
      </c>
      <c r="C656" s="10" t="e">
        <f t="shared" si="92"/>
        <v>#N/A</v>
      </c>
      <c r="D656" s="11" t="str">
        <f>IF(ISERROR(B656),"",bsolve($B656,$E$2,$E$4,$E$8,$E$9))</f>
        <v/>
      </c>
      <c r="E656" s="11" t="str">
        <f t="shared" si="93"/>
        <v/>
      </c>
      <c r="F656" s="11" t="str">
        <f t="shared" si="96"/>
        <v/>
      </c>
      <c r="G656" s="11" t="str">
        <f t="shared" si="97"/>
        <v/>
      </c>
      <c r="H656" s="19" t="str">
        <f t="shared" si="94"/>
        <v/>
      </c>
      <c r="I656" s="21">
        <f t="shared" si="98"/>
        <v>0</v>
      </c>
      <c r="J656" s="21" t="e">
        <f t="shared" si="95"/>
        <v>#N/A</v>
      </c>
      <c r="K656" s="21" t="str">
        <f t="shared" si="99"/>
        <v/>
      </c>
    </row>
    <row r="657" spans="2:11" x14ac:dyDescent="0.25">
      <c r="B657" s="9" t="e">
        <f t="shared" si="100"/>
        <v>#N/A</v>
      </c>
      <c r="C657" s="10" t="e">
        <f t="shared" si="92"/>
        <v>#N/A</v>
      </c>
      <c r="D657" s="11" t="str">
        <f>IF(ISERROR(B657),"",bsolve($B657,$E$2,$E$4,$E$8,$E$9))</f>
        <v/>
      </c>
      <c r="E657" s="11" t="str">
        <f t="shared" si="93"/>
        <v/>
      </c>
      <c r="F657" s="11" t="str">
        <f t="shared" si="96"/>
        <v/>
      </c>
      <c r="G657" s="11" t="str">
        <f t="shared" si="97"/>
        <v/>
      </c>
      <c r="H657" s="19" t="str">
        <f t="shared" si="94"/>
        <v/>
      </c>
      <c r="I657" s="21">
        <f t="shared" si="98"/>
        <v>0</v>
      </c>
      <c r="J657" s="21" t="e">
        <f t="shared" si="95"/>
        <v>#N/A</v>
      </c>
      <c r="K657" s="21" t="str">
        <f t="shared" si="99"/>
        <v/>
      </c>
    </row>
    <row r="658" spans="2:11" x14ac:dyDescent="0.25">
      <c r="B658" s="9" t="e">
        <f t="shared" si="100"/>
        <v>#N/A</v>
      </c>
      <c r="C658" s="10" t="e">
        <f t="shared" ref="C658:C721" si="101">IF(B658="","",100*B658/$E$2)</f>
        <v>#N/A</v>
      </c>
      <c r="D658" s="11" t="str">
        <f>IF(ISERROR(B658),"",bsolve($B658,$E$2,$E$4,$E$8,$E$9))</f>
        <v/>
      </c>
      <c r="E658" s="11" t="str">
        <f t="shared" ref="E658:E721" si="102">IF(ISERROR(B658),"",IF(AND($E$7&lt;$E$5,C658&gt;=($E$5*100)),D658,0))</f>
        <v/>
      </c>
      <c r="F658" s="11" t="str">
        <f t="shared" si="96"/>
        <v/>
      </c>
      <c r="G658" s="11" t="str">
        <f t="shared" si="97"/>
        <v/>
      </c>
      <c r="H658" s="19" t="str">
        <f t="shared" ref="H658:H721" si="103">IF(ISERROR(B658),"",100*((B658*(1-$E$9))+($E$2-B658)*$E$8)/$E$2)</f>
        <v/>
      </c>
      <c r="I658" s="21">
        <f t="shared" si="98"/>
        <v>0</v>
      </c>
      <c r="J658" s="21" t="e">
        <f t="shared" ref="J658:J721" si="104">IF(ISERROR(B658),NA(),IF(AND(H658&gt;=$E$5*100,B658/$E$2&lt;$E$5),H658,NA()))</f>
        <v>#N/A</v>
      </c>
      <c r="K658" s="21" t="str">
        <f t="shared" si="99"/>
        <v/>
      </c>
    </row>
    <row r="659" spans="2:11" x14ac:dyDescent="0.25">
      <c r="B659" s="9" t="e">
        <f t="shared" si="100"/>
        <v>#N/A</v>
      </c>
      <c r="C659" s="10" t="e">
        <f t="shared" si="101"/>
        <v>#N/A</v>
      </c>
      <c r="D659" s="11" t="str">
        <f>IF(ISERROR(B659),"",bsolve($B659,$E$2,$E$4,$E$8,$E$9))</f>
        <v/>
      </c>
      <c r="E659" s="11" t="str">
        <f t="shared" si="102"/>
        <v/>
      </c>
      <c r="F659" s="11" t="str">
        <f t="shared" ref="F659:F722" si="105">IF(ISERROR(B659),"",IF(AND($E$7&gt;=$E$5,C659&lt;($E$5*100)),D659,0))</f>
        <v/>
      </c>
      <c r="G659" s="11" t="str">
        <f t="shared" ref="G659:G722" si="106">IF(ISERROR(B659),"",IF(C659&gt;=$E$5*100,D659,""))</f>
        <v/>
      </c>
      <c r="H659" s="19" t="str">
        <f t="shared" si="103"/>
        <v/>
      </c>
      <c r="I659" s="21">
        <f t="shared" ref="I659:I722" si="107">IF(NOT(ISERROR(J659)),B659,0)</f>
        <v>0</v>
      </c>
      <c r="J659" s="21" t="e">
        <f t="shared" si="104"/>
        <v>#N/A</v>
      </c>
      <c r="K659" s="21" t="str">
        <f t="shared" ref="K659:K722" si="108">IF(AND(I659=0,I660&gt;0),B659,"")</f>
        <v/>
      </c>
    </row>
    <row r="660" spans="2:11" x14ac:dyDescent="0.25">
      <c r="B660" s="9" t="e">
        <f t="shared" ref="B660:B723" si="109">IF(ROW()-18&lt;=$E$2,B659+1,NA())</f>
        <v>#N/A</v>
      </c>
      <c r="C660" s="10" t="e">
        <f t="shared" si="101"/>
        <v>#N/A</v>
      </c>
      <c r="D660" s="11" t="str">
        <f>IF(ISERROR(B660),"",bsolve($B660,$E$2,$E$4,$E$8,$E$9))</f>
        <v/>
      </c>
      <c r="E660" s="11" t="str">
        <f t="shared" si="102"/>
        <v/>
      </c>
      <c r="F660" s="11" t="str">
        <f t="shared" si="105"/>
        <v/>
      </c>
      <c r="G660" s="11" t="str">
        <f t="shared" si="106"/>
        <v/>
      </c>
      <c r="H660" s="19" t="str">
        <f t="shared" si="103"/>
        <v/>
      </c>
      <c r="I660" s="21">
        <f t="shared" si="107"/>
        <v>0</v>
      </c>
      <c r="J660" s="21" t="e">
        <f t="shared" si="104"/>
        <v>#N/A</v>
      </c>
      <c r="K660" s="21" t="str">
        <f t="shared" si="108"/>
        <v/>
      </c>
    </row>
    <row r="661" spans="2:11" x14ac:dyDescent="0.25">
      <c r="B661" s="9" t="e">
        <f t="shared" si="109"/>
        <v>#N/A</v>
      </c>
      <c r="C661" s="10" t="e">
        <f t="shared" si="101"/>
        <v>#N/A</v>
      </c>
      <c r="D661" s="11" t="str">
        <f>IF(ISERROR(B661),"",bsolve($B661,$E$2,$E$4,$E$8,$E$9))</f>
        <v/>
      </c>
      <c r="E661" s="11" t="str">
        <f t="shared" si="102"/>
        <v/>
      </c>
      <c r="F661" s="11" t="str">
        <f t="shared" si="105"/>
        <v/>
      </c>
      <c r="G661" s="11" t="str">
        <f t="shared" si="106"/>
        <v/>
      </c>
      <c r="H661" s="19" t="str">
        <f t="shared" si="103"/>
        <v/>
      </c>
      <c r="I661" s="21">
        <f t="shared" si="107"/>
        <v>0</v>
      </c>
      <c r="J661" s="21" t="e">
        <f t="shared" si="104"/>
        <v>#N/A</v>
      </c>
      <c r="K661" s="21" t="str">
        <f t="shared" si="108"/>
        <v/>
      </c>
    </row>
    <row r="662" spans="2:11" x14ac:dyDescent="0.25">
      <c r="B662" s="9" t="e">
        <f t="shared" si="109"/>
        <v>#N/A</v>
      </c>
      <c r="C662" s="10" t="e">
        <f t="shared" si="101"/>
        <v>#N/A</v>
      </c>
      <c r="D662" s="11" t="str">
        <f>IF(ISERROR(B662),"",bsolve($B662,$E$2,$E$4,$E$8,$E$9))</f>
        <v/>
      </c>
      <c r="E662" s="11" t="str">
        <f t="shared" si="102"/>
        <v/>
      </c>
      <c r="F662" s="11" t="str">
        <f t="shared" si="105"/>
        <v/>
      </c>
      <c r="G662" s="11" t="str">
        <f t="shared" si="106"/>
        <v/>
      </c>
      <c r="H662" s="19" t="str">
        <f t="shared" si="103"/>
        <v/>
      </c>
      <c r="I662" s="21">
        <f t="shared" si="107"/>
        <v>0</v>
      </c>
      <c r="J662" s="21" t="e">
        <f t="shared" si="104"/>
        <v>#N/A</v>
      </c>
      <c r="K662" s="21" t="str">
        <f t="shared" si="108"/>
        <v/>
      </c>
    </row>
    <row r="663" spans="2:11" x14ac:dyDescent="0.25">
      <c r="B663" s="9" t="e">
        <f t="shared" si="109"/>
        <v>#N/A</v>
      </c>
      <c r="C663" s="10" t="e">
        <f t="shared" si="101"/>
        <v>#N/A</v>
      </c>
      <c r="D663" s="11" t="str">
        <f>IF(ISERROR(B663),"",bsolve($B663,$E$2,$E$4,$E$8,$E$9))</f>
        <v/>
      </c>
      <c r="E663" s="11" t="str">
        <f t="shared" si="102"/>
        <v/>
      </c>
      <c r="F663" s="11" t="str">
        <f t="shared" si="105"/>
        <v/>
      </c>
      <c r="G663" s="11" t="str">
        <f t="shared" si="106"/>
        <v/>
      </c>
      <c r="H663" s="19" t="str">
        <f t="shared" si="103"/>
        <v/>
      </c>
      <c r="I663" s="21">
        <f t="shared" si="107"/>
        <v>0</v>
      </c>
      <c r="J663" s="21" t="e">
        <f t="shared" si="104"/>
        <v>#N/A</v>
      </c>
      <c r="K663" s="21" t="str">
        <f t="shared" si="108"/>
        <v/>
      </c>
    </row>
    <row r="664" spans="2:11" x14ac:dyDescent="0.25">
      <c r="B664" s="9" t="e">
        <f t="shared" si="109"/>
        <v>#N/A</v>
      </c>
      <c r="C664" s="10" t="e">
        <f t="shared" si="101"/>
        <v>#N/A</v>
      </c>
      <c r="D664" s="11" t="str">
        <f>IF(ISERROR(B664),"",bsolve($B664,$E$2,$E$4,$E$8,$E$9))</f>
        <v/>
      </c>
      <c r="E664" s="11" t="str">
        <f t="shared" si="102"/>
        <v/>
      </c>
      <c r="F664" s="11" t="str">
        <f t="shared" si="105"/>
        <v/>
      </c>
      <c r="G664" s="11" t="str">
        <f t="shared" si="106"/>
        <v/>
      </c>
      <c r="H664" s="19" t="str">
        <f t="shared" si="103"/>
        <v/>
      </c>
      <c r="I664" s="21">
        <f t="shared" si="107"/>
        <v>0</v>
      </c>
      <c r="J664" s="21" t="e">
        <f t="shared" si="104"/>
        <v>#N/A</v>
      </c>
      <c r="K664" s="21" t="str">
        <f t="shared" si="108"/>
        <v/>
      </c>
    </row>
    <row r="665" spans="2:11" x14ac:dyDescent="0.25">
      <c r="B665" s="9" t="e">
        <f t="shared" si="109"/>
        <v>#N/A</v>
      </c>
      <c r="C665" s="10" t="e">
        <f t="shared" si="101"/>
        <v>#N/A</v>
      </c>
      <c r="D665" s="11" t="str">
        <f>IF(ISERROR(B665),"",bsolve($B665,$E$2,$E$4,$E$8,$E$9))</f>
        <v/>
      </c>
      <c r="E665" s="11" t="str">
        <f t="shared" si="102"/>
        <v/>
      </c>
      <c r="F665" s="11" t="str">
        <f t="shared" si="105"/>
        <v/>
      </c>
      <c r="G665" s="11" t="str">
        <f t="shared" si="106"/>
        <v/>
      </c>
      <c r="H665" s="19" t="str">
        <f t="shared" si="103"/>
        <v/>
      </c>
      <c r="I665" s="21">
        <f t="shared" si="107"/>
        <v>0</v>
      </c>
      <c r="J665" s="21" t="e">
        <f t="shared" si="104"/>
        <v>#N/A</v>
      </c>
      <c r="K665" s="21" t="str">
        <f t="shared" si="108"/>
        <v/>
      </c>
    </row>
    <row r="666" spans="2:11" x14ac:dyDescent="0.25">
      <c r="B666" s="9" t="e">
        <f t="shared" si="109"/>
        <v>#N/A</v>
      </c>
      <c r="C666" s="10" t="e">
        <f t="shared" si="101"/>
        <v>#N/A</v>
      </c>
      <c r="D666" s="11" t="str">
        <f>IF(ISERROR(B666),"",bsolve($B666,$E$2,$E$4,$E$8,$E$9))</f>
        <v/>
      </c>
      <c r="E666" s="11" t="str">
        <f t="shared" si="102"/>
        <v/>
      </c>
      <c r="F666" s="11" t="str">
        <f t="shared" si="105"/>
        <v/>
      </c>
      <c r="G666" s="11" t="str">
        <f t="shared" si="106"/>
        <v/>
      </c>
      <c r="H666" s="19" t="str">
        <f t="shared" si="103"/>
        <v/>
      </c>
      <c r="I666" s="21">
        <f t="shared" si="107"/>
        <v>0</v>
      </c>
      <c r="J666" s="21" t="e">
        <f t="shared" si="104"/>
        <v>#N/A</v>
      </c>
      <c r="K666" s="21" t="str">
        <f t="shared" si="108"/>
        <v/>
      </c>
    </row>
    <row r="667" spans="2:11" x14ac:dyDescent="0.25">
      <c r="B667" s="9" t="e">
        <f t="shared" si="109"/>
        <v>#N/A</v>
      </c>
      <c r="C667" s="10" t="e">
        <f t="shared" si="101"/>
        <v>#N/A</v>
      </c>
      <c r="D667" s="11" t="str">
        <f>IF(ISERROR(B667),"",bsolve($B667,$E$2,$E$4,$E$8,$E$9))</f>
        <v/>
      </c>
      <c r="E667" s="11" t="str">
        <f t="shared" si="102"/>
        <v/>
      </c>
      <c r="F667" s="11" t="str">
        <f t="shared" si="105"/>
        <v/>
      </c>
      <c r="G667" s="11" t="str">
        <f t="shared" si="106"/>
        <v/>
      </c>
      <c r="H667" s="19" t="str">
        <f t="shared" si="103"/>
        <v/>
      </c>
      <c r="I667" s="21">
        <f t="shared" si="107"/>
        <v>0</v>
      </c>
      <c r="J667" s="21" t="e">
        <f t="shared" si="104"/>
        <v>#N/A</v>
      </c>
      <c r="K667" s="21" t="str">
        <f t="shared" si="108"/>
        <v/>
      </c>
    </row>
    <row r="668" spans="2:11" x14ac:dyDescent="0.25">
      <c r="B668" s="9" t="e">
        <f t="shared" si="109"/>
        <v>#N/A</v>
      </c>
      <c r="C668" s="10" t="e">
        <f t="shared" si="101"/>
        <v>#N/A</v>
      </c>
      <c r="D668" s="11" t="str">
        <f>IF(ISERROR(B668),"",bsolve($B668,$E$2,$E$4,$E$8,$E$9))</f>
        <v/>
      </c>
      <c r="E668" s="11" t="str">
        <f t="shared" si="102"/>
        <v/>
      </c>
      <c r="F668" s="11" t="str">
        <f t="shared" si="105"/>
        <v/>
      </c>
      <c r="G668" s="11" t="str">
        <f t="shared" si="106"/>
        <v/>
      </c>
      <c r="H668" s="19" t="str">
        <f t="shared" si="103"/>
        <v/>
      </c>
      <c r="I668" s="21">
        <f t="shared" si="107"/>
        <v>0</v>
      </c>
      <c r="J668" s="21" t="e">
        <f t="shared" si="104"/>
        <v>#N/A</v>
      </c>
      <c r="K668" s="21" t="str">
        <f t="shared" si="108"/>
        <v/>
      </c>
    </row>
    <row r="669" spans="2:11" x14ac:dyDescent="0.25">
      <c r="B669" s="9" t="e">
        <f t="shared" si="109"/>
        <v>#N/A</v>
      </c>
      <c r="C669" s="10" t="e">
        <f t="shared" si="101"/>
        <v>#N/A</v>
      </c>
      <c r="D669" s="11" t="str">
        <f>IF(ISERROR(B669),"",bsolve($B669,$E$2,$E$4,$E$8,$E$9))</f>
        <v/>
      </c>
      <c r="E669" s="11" t="str">
        <f t="shared" si="102"/>
        <v/>
      </c>
      <c r="F669" s="11" t="str">
        <f t="shared" si="105"/>
        <v/>
      </c>
      <c r="G669" s="11" t="str">
        <f t="shared" si="106"/>
        <v/>
      </c>
      <c r="H669" s="19" t="str">
        <f t="shared" si="103"/>
        <v/>
      </c>
      <c r="I669" s="21">
        <f t="shared" si="107"/>
        <v>0</v>
      </c>
      <c r="J669" s="21" t="e">
        <f t="shared" si="104"/>
        <v>#N/A</v>
      </c>
      <c r="K669" s="21" t="str">
        <f t="shared" si="108"/>
        <v/>
      </c>
    </row>
    <row r="670" spans="2:11" x14ac:dyDescent="0.25">
      <c r="B670" s="9" t="e">
        <f t="shared" si="109"/>
        <v>#N/A</v>
      </c>
      <c r="C670" s="10" t="e">
        <f t="shared" si="101"/>
        <v>#N/A</v>
      </c>
      <c r="D670" s="11" t="str">
        <f>IF(ISERROR(B670),"",bsolve($B670,$E$2,$E$4,$E$8,$E$9))</f>
        <v/>
      </c>
      <c r="E670" s="11" t="str">
        <f t="shared" si="102"/>
        <v/>
      </c>
      <c r="F670" s="11" t="str">
        <f t="shared" si="105"/>
        <v/>
      </c>
      <c r="G670" s="11" t="str">
        <f t="shared" si="106"/>
        <v/>
      </c>
      <c r="H670" s="19" t="str">
        <f t="shared" si="103"/>
        <v/>
      </c>
      <c r="I670" s="21">
        <f t="shared" si="107"/>
        <v>0</v>
      </c>
      <c r="J670" s="21" t="e">
        <f t="shared" si="104"/>
        <v>#N/A</v>
      </c>
      <c r="K670" s="21" t="str">
        <f t="shared" si="108"/>
        <v/>
      </c>
    </row>
    <row r="671" spans="2:11" x14ac:dyDescent="0.25">
      <c r="B671" s="9" t="e">
        <f t="shared" si="109"/>
        <v>#N/A</v>
      </c>
      <c r="C671" s="10" t="e">
        <f t="shared" si="101"/>
        <v>#N/A</v>
      </c>
      <c r="D671" s="11" t="str">
        <f>IF(ISERROR(B671),"",bsolve($B671,$E$2,$E$4,$E$8,$E$9))</f>
        <v/>
      </c>
      <c r="E671" s="11" t="str">
        <f t="shared" si="102"/>
        <v/>
      </c>
      <c r="F671" s="11" t="str">
        <f t="shared" si="105"/>
        <v/>
      </c>
      <c r="G671" s="11" t="str">
        <f t="shared" si="106"/>
        <v/>
      </c>
      <c r="H671" s="19" t="str">
        <f t="shared" si="103"/>
        <v/>
      </c>
      <c r="I671" s="21">
        <f t="shared" si="107"/>
        <v>0</v>
      </c>
      <c r="J671" s="21" t="e">
        <f t="shared" si="104"/>
        <v>#N/A</v>
      </c>
      <c r="K671" s="21" t="str">
        <f t="shared" si="108"/>
        <v/>
      </c>
    </row>
    <row r="672" spans="2:11" x14ac:dyDescent="0.25">
      <c r="B672" s="9" t="e">
        <f t="shared" si="109"/>
        <v>#N/A</v>
      </c>
      <c r="C672" s="10" t="e">
        <f t="shared" si="101"/>
        <v>#N/A</v>
      </c>
      <c r="D672" s="11" t="str">
        <f>IF(ISERROR(B672),"",bsolve($B672,$E$2,$E$4,$E$8,$E$9))</f>
        <v/>
      </c>
      <c r="E672" s="11" t="str">
        <f t="shared" si="102"/>
        <v/>
      </c>
      <c r="F672" s="11" t="str">
        <f t="shared" si="105"/>
        <v/>
      </c>
      <c r="G672" s="11" t="str">
        <f t="shared" si="106"/>
        <v/>
      </c>
      <c r="H672" s="19" t="str">
        <f t="shared" si="103"/>
        <v/>
      </c>
      <c r="I672" s="21">
        <f t="shared" si="107"/>
        <v>0</v>
      </c>
      <c r="J672" s="21" t="e">
        <f t="shared" si="104"/>
        <v>#N/A</v>
      </c>
      <c r="K672" s="21" t="str">
        <f t="shared" si="108"/>
        <v/>
      </c>
    </row>
    <row r="673" spans="2:11" x14ac:dyDescent="0.25">
      <c r="B673" s="9" t="e">
        <f t="shared" si="109"/>
        <v>#N/A</v>
      </c>
      <c r="C673" s="10" t="e">
        <f t="shared" si="101"/>
        <v>#N/A</v>
      </c>
      <c r="D673" s="11" t="str">
        <f>IF(ISERROR(B673),"",bsolve($B673,$E$2,$E$4,$E$8,$E$9))</f>
        <v/>
      </c>
      <c r="E673" s="11" t="str">
        <f t="shared" si="102"/>
        <v/>
      </c>
      <c r="F673" s="11" t="str">
        <f t="shared" si="105"/>
        <v/>
      </c>
      <c r="G673" s="11" t="str">
        <f t="shared" si="106"/>
        <v/>
      </c>
      <c r="H673" s="19" t="str">
        <f t="shared" si="103"/>
        <v/>
      </c>
      <c r="I673" s="21">
        <f t="shared" si="107"/>
        <v>0</v>
      </c>
      <c r="J673" s="21" t="e">
        <f t="shared" si="104"/>
        <v>#N/A</v>
      </c>
      <c r="K673" s="21" t="str">
        <f t="shared" si="108"/>
        <v/>
      </c>
    </row>
    <row r="674" spans="2:11" x14ac:dyDescent="0.25">
      <c r="B674" s="9" t="e">
        <f t="shared" si="109"/>
        <v>#N/A</v>
      </c>
      <c r="C674" s="10" t="e">
        <f t="shared" si="101"/>
        <v>#N/A</v>
      </c>
      <c r="D674" s="11" t="str">
        <f>IF(ISERROR(B674),"",bsolve($B674,$E$2,$E$4,$E$8,$E$9))</f>
        <v/>
      </c>
      <c r="E674" s="11" t="str">
        <f t="shared" si="102"/>
        <v/>
      </c>
      <c r="F674" s="11" t="str">
        <f t="shared" si="105"/>
        <v/>
      </c>
      <c r="G674" s="11" t="str">
        <f t="shared" si="106"/>
        <v/>
      </c>
      <c r="H674" s="19" t="str">
        <f t="shared" si="103"/>
        <v/>
      </c>
      <c r="I674" s="21">
        <f t="shared" si="107"/>
        <v>0</v>
      </c>
      <c r="J674" s="21" t="e">
        <f t="shared" si="104"/>
        <v>#N/A</v>
      </c>
      <c r="K674" s="21" t="str">
        <f t="shared" si="108"/>
        <v/>
      </c>
    </row>
    <row r="675" spans="2:11" x14ac:dyDescent="0.25">
      <c r="B675" s="9" t="e">
        <f t="shared" si="109"/>
        <v>#N/A</v>
      </c>
      <c r="C675" s="10" t="e">
        <f t="shared" si="101"/>
        <v>#N/A</v>
      </c>
      <c r="D675" s="11" t="str">
        <f>IF(ISERROR(B675),"",bsolve($B675,$E$2,$E$4,$E$8,$E$9))</f>
        <v/>
      </c>
      <c r="E675" s="11" t="str">
        <f t="shared" si="102"/>
        <v/>
      </c>
      <c r="F675" s="11" t="str">
        <f t="shared" si="105"/>
        <v/>
      </c>
      <c r="G675" s="11" t="str">
        <f t="shared" si="106"/>
        <v/>
      </c>
      <c r="H675" s="19" t="str">
        <f t="shared" si="103"/>
        <v/>
      </c>
      <c r="I675" s="21">
        <f t="shared" si="107"/>
        <v>0</v>
      </c>
      <c r="J675" s="21" t="e">
        <f t="shared" si="104"/>
        <v>#N/A</v>
      </c>
      <c r="K675" s="21" t="str">
        <f t="shared" si="108"/>
        <v/>
      </c>
    </row>
    <row r="676" spans="2:11" x14ac:dyDescent="0.25">
      <c r="B676" s="9" t="e">
        <f t="shared" si="109"/>
        <v>#N/A</v>
      </c>
      <c r="C676" s="10" t="e">
        <f t="shared" si="101"/>
        <v>#N/A</v>
      </c>
      <c r="D676" s="11" t="str">
        <f>IF(ISERROR(B676),"",bsolve($B676,$E$2,$E$4,$E$8,$E$9))</f>
        <v/>
      </c>
      <c r="E676" s="11" t="str">
        <f t="shared" si="102"/>
        <v/>
      </c>
      <c r="F676" s="11" t="str">
        <f t="shared" si="105"/>
        <v/>
      </c>
      <c r="G676" s="11" t="str">
        <f t="shared" si="106"/>
        <v/>
      </c>
      <c r="H676" s="19" t="str">
        <f t="shared" si="103"/>
        <v/>
      </c>
      <c r="I676" s="21">
        <f t="shared" si="107"/>
        <v>0</v>
      </c>
      <c r="J676" s="21" t="e">
        <f t="shared" si="104"/>
        <v>#N/A</v>
      </c>
      <c r="K676" s="21" t="str">
        <f t="shared" si="108"/>
        <v/>
      </c>
    </row>
    <row r="677" spans="2:11" x14ac:dyDescent="0.25">
      <c r="B677" s="9" t="e">
        <f t="shared" si="109"/>
        <v>#N/A</v>
      </c>
      <c r="C677" s="10" t="e">
        <f t="shared" si="101"/>
        <v>#N/A</v>
      </c>
      <c r="D677" s="11" t="str">
        <f>IF(ISERROR(B677),"",bsolve($B677,$E$2,$E$4,$E$8,$E$9))</f>
        <v/>
      </c>
      <c r="E677" s="11" t="str">
        <f t="shared" si="102"/>
        <v/>
      </c>
      <c r="F677" s="11" t="str">
        <f t="shared" si="105"/>
        <v/>
      </c>
      <c r="G677" s="11" t="str">
        <f t="shared" si="106"/>
        <v/>
      </c>
      <c r="H677" s="19" t="str">
        <f t="shared" si="103"/>
        <v/>
      </c>
      <c r="I677" s="21">
        <f t="shared" si="107"/>
        <v>0</v>
      </c>
      <c r="J677" s="21" t="e">
        <f t="shared" si="104"/>
        <v>#N/A</v>
      </c>
      <c r="K677" s="21" t="str">
        <f t="shared" si="108"/>
        <v/>
      </c>
    </row>
    <row r="678" spans="2:11" x14ac:dyDescent="0.25">
      <c r="B678" s="9" t="e">
        <f t="shared" si="109"/>
        <v>#N/A</v>
      </c>
      <c r="C678" s="10" t="e">
        <f t="shared" si="101"/>
        <v>#N/A</v>
      </c>
      <c r="D678" s="11" t="str">
        <f>IF(ISERROR(B678),"",bsolve($B678,$E$2,$E$4,$E$8,$E$9))</f>
        <v/>
      </c>
      <c r="E678" s="11" t="str">
        <f t="shared" si="102"/>
        <v/>
      </c>
      <c r="F678" s="11" t="str">
        <f t="shared" si="105"/>
        <v/>
      </c>
      <c r="G678" s="11" t="str">
        <f t="shared" si="106"/>
        <v/>
      </c>
      <c r="H678" s="19" t="str">
        <f t="shared" si="103"/>
        <v/>
      </c>
      <c r="I678" s="21">
        <f t="shared" si="107"/>
        <v>0</v>
      </c>
      <c r="J678" s="21" t="e">
        <f t="shared" si="104"/>
        <v>#N/A</v>
      </c>
      <c r="K678" s="21" t="str">
        <f t="shared" si="108"/>
        <v/>
      </c>
    </row>
    <row r="679" spans="2:11" x14ac:dyDescent="0.25">
      <c r="B679" s="9" t="e">
        <f t="shared" si="109"/>
        <v>#N/A</v>
      </c>
      <c r="C679" s="10" t="e">
        <f t="shared" si="101"/>
        <v>#N/A</v>
      </c>
      <c r="D679" s="11" t="str">
        <f>IF(ISERROR(B679),"",bsolve($B679,$E$2,$E$4,$E$8,$E$9))</f>
        <v/>
      </c>
      <c r="E679" s="11" t="str">
        <f t="shared" si="102"/>
        <v/>
      </c>
      <c r="F679" s="11" t="str">
        <f t="shared" si="105"/>
        <v/>
      </c>
      <c r="G679" s="11" t="str">
        <f t="shared" si="106"/>
        <v/>
      </c>
      <c r="H679" s="19" t="str">
        <f t="shared" si="103"/>
        <v/>
      </c>
      <c r="I679" s="21">
        <f t="shared" si="107"/>
        <v>0</v>
      </c>
      <c r="J679" s="21" t="e">
        <f t="shared" si="104"/>
        <v>#N/A</v>
      </c>
      <c r="K679" s="21" t="str">
        <f t="shared" si="108"/>
        <v/>
      </c>
    </row>
    <row r="680" spans="2:11" x14ac:dyDescent="0.25">
      <c r="B680" s="9" t="e">
        <f t="shared" si="109"/>
        <v>#N/A</v>
      </c>
      <c r="C680" s="10" t="e">
        <f t="shared" si="101"/>
        <v>#N/A</v>
      </c>
      <c r="D680" s="11" t="str">
        <f>IF(ISERROR(B680),"",bsolve($B680,$E$2,$E$4,$E$8,$E$9))</f>
        <v/>
      </c>
      <c r="E680" s="11" t="str">
        <f t="shared" si="102"/>
        <v/>
      </c>
      <c r="F680" s="11" t="str">
        <f t="shared" si="105"/>
        <v/>
      </c>
      <c r="G680" s="11" t="str">
        <f t="shared" si="106"/>
        <v/>
      </c>
      <c r="H680" s="19" t="str">
        <f t="shared" si="103"/>
        <v/>
      </c>
      <c r="I680" s="21">
        <f t="shared" si="107"/>
        <v>0</v>
      </c>
      <c r="J680" s="21" t="e">
        <f t="shared" si="104"/>
        <v>#N/A</v>
      </c>
      <c r="K680" s="21" t="str">
        <f t="shared" si="108"/>
        <v/>
      </c>
    </row>
    <row r="681" spans="2:11" x14ac:dyDescent="0.25">
      <c r="B681" s="9" t="e">
        <f t="shared" si="109"/>
        <v>#N/A</v>
      </c>
      <c r="C681" s="10" t="e">
        <f t="shared" si="101"/>
        <v>#N/A</v>
      </c>
      <c r="D681" s="11" t="str">
        <f>IF(ISERROR(B681),"",bsolve($B681,$E$2,$E$4,$E$8,$E$9))</f>
        <v/>
      </c>
      <c r="E681" s="11" t="str">
        <f t="shared" si="102"/>
        <v/>
      </c>
      <c r="F681" s="11" t="str">
        <f t="shared" si="105"/>
        <v/>
      </c>
      <c r="G681" s="11" t="str">
        <f t="shared" si="106"/>
        <v/>
      </c>
      <c r="H681" s="19" t="str">
        <f t="shared" si="103"/>
        <v/>
      </c>
      <c r="I681" s="21">
        <f t="shared" si="107"/>
        <v>0</v>
      </c>
      <c r="J681" s="21" t="e">
        <f t="shared" si="104"/>
        <v>#N/A</v>
      </c>
      <c r="K681" s="21" t="str">
        <f t="shared" si="108"/>
        <v/>
      </c>
    </row>
    <row r="682" spans="2:11" x14ac:dyDescent="0.25">
      <c r="B682" s="9" t="e">
        <f t="shared" si="109"/>
        <v>#N/A</v>
      </c>
      <c r="C682" s="10" t="e">
        <f t="shared" si="101"/>
        <v>#N/A</v>
      </c>
      <c r="D682" s="11" t="str">
        <f>IF(ISERROR(B682),"",bsolve($B682,$E$2,$E$4,$E$8,$E$9))</f>
        <v/>
      </c>
      <c r="E682" s="11" t="str">
        <f t="shared" si="102"/>
        <v/>
      </c>
      <c r="F682" s="11" t="str">
        <f t="shared" si="105"/>
        <v/>
      </c>
      <c r="G682" s="11" t="str">
        <f t="shared" si="106"/>
        <v/>
      </c>
      <c r="H682" s="19" t="str">
        <f t="shared" si="103"/>
        <v/>
      </c>
      <c r="I682" s="21">
        <f t="shared" si="107"/>
        <v>0</v>
      </c>
      <c r="J682" s="21" t="e">
        <f t="shared" si="104"/>
        <v>#N/A</v>
      </c>
      <c r="K682" s="21" t="str">
        <f t="shared" si="108"/>
        <v/>
      </c>
    </row>
    <row r="683" spans="2:11" x14ac:dyDescent="0.25">
      <c r="B683" s="9" t="e">
        <f t="shared" si="109"/>
        <v>#N/A</v>
      </c>
      <c r="C683" s="10" t="e">
        <f t="shared" si="101"/>
        <v>#N/A</v>
      </c>
      <c r="D683" s="11" t="str">
        <f>IF(ISERROR(B683),"",bsolve($B683,$E$2,$E$4,$E$8,$E$9))</f>
        <v/>
      </c>
      <c r="E683" s="11" t="str">
        <f t="shared" si="102"/>
        <v/>
      </c>
      <c r="F683" s="11" t="str">
        <f t="shared" si="105"/>
        <v/>
      </c>
      <c r="G683" s="11" t="str">
        <f t="shared" si="106"/>
        <v/>
      </c>
      <c r="H683" s="19" t="str">
        <f t="shared" si="103"/>
        <v/>
      </c>
      <c r="I683" s="21">
        <f t="shared" si="107"/>
        <v>0</v>
      </c>
      <c r="J683" s="21" t="e">
        <f t="shared" si="104"/>
        <v>#N/A</v>
      </c>
      <c r="K683" s="21" t="str">
        <f t="shared" si="108"/>
        <v/>
      </c>
    </row>
    <row r="684" spans="2:11" x14ac:dyDescent="0.25">
      <c r="B684" s="9" t="e">
        <f t="shared" si="109"/>
        <v>#N/A</v>
      </c>
      <c r="C684" s="10" t="e">
        <f t="shared" si="101"/>
        <v>#N/A</v>
      </c>
      <c r="D684" s="11" t="str">
        <f>IF(ISERROR(B684),"",bsolve($B684,$E$2,$E$4,$E$8,$E$9))</f>
        <v/>
      </c>
      <c r="E684" s="11" t="str">
        <f t="shared" si="102"/>
        <v/>
      </c>
      <c r="F684" s="11" t="str">
        <f t="shared" si="105"/>
        <v/>
      </c>
      <c r="G684" s="11" t="str">
        <f t="shared" si="106"/>
        <v/>
      </c>
      <c r="H684" s="19" t="str">
        <f t="shared" si="103"/>
        <v/>
      </c>
      <c r="I684" s="21">
        <f t="shared" si="107"/>
        <v>0</v>
      </c>
      <c r="J684" s="21" t="e">
        <f t="shared" si="104"/>
        <v>#N/A</v>
      </c>
      <c r="K684" s="21" t="str">
        <f t="shared" si="108"/>
        <v/>
      </c>
    </row>
    <row r="685" spans="2:11" x14ac:dyDescent="0.25">
      <c r="B685" s="9" t="e">
        <f t="shared" si="109"/>
        <v>#N/A</v>
      </c>
      <c r="C685" s="10" t="e">
        <f t="shared" si="101"/>
        <v>#N/A</v>
      </c>
      <c r="D685" s="11" t="str">
        <f>IF(ISERROR(B685),"",bsolve($B685,$E$2,$E$4,$E$8,$E$9))</f>
        <v/>
      </c>
      <c r="E685" s="11" t="str">
        <f t="shared" si="102"/>
        <v/>
      </c>
      <c r="F685" s="11" t="str">
        <f t="shared" si="105"/>
        <v/>
      </c>
      <c r="G685" s="11" t="str">
        <f t="shared" si="106"/>
        <v/>
      </c>
      <c r="H685" s="19" t="str">
        <f t="shared" si="103"/>
        <v/>
      </c>
      <c r="I685" s="21">
        <f t="shared" si="107"/>
        <v>0</v>
      </c>
      <c r="J685" s="21" t="e">
        <f t="shared" si="104"/>
        <v>#N/A</v>
      </c>
      <c r="K685" s="21" t="str">
        <f t="shared" si="108"/>
        <v/>
      </c>
    </row>
    <row r="686" spans="2:11" x14ac:dyDescent="0.25">
      <c r="B686" s="9" t="e">
        <f t="shared" si="109"/>
        <v>#N/A</v>
      </c>
      <c r="C686" s="10" t="e">
        <f t="shared" si="101"/>
        <v>#N/A</v>
      </c>
      <c r="D686" s="11" t="str">
        <f>IF(ISERROR(B686),"",bsolve($B686,$E$2,$E$4,$E$8,$E$9))</f>
        <v/>
      </c>
      <c r="E686" s="11" t="str">
        <f t="shared" si="102"/>
        <v/>
      </c>
      <c r="F686" s="11" t="str">
        <f t="shared" si="105"/>
        <v/>
      </c>
      <c r="G686" s="11" t="str">
        <f t="shared" si="106"/>
        <v/>
      </c>
      <c r="H686" s="19" t="str">
        <f t="shared" si="103"/>
        <v/>
      </c>
      <c r="I686" s="21">
        <f t="shared" si="107"/>
        <v>0</v>
      </c>
      <c r="J686" s="21" t="e">
        <f t="shared" si="104"/>
        <v>#N/A</v>
      </c>
      <c r="K686" s="21" t="str">
        <f t="shared" si="108"/>
        <v/>
      </c>
    </row>
    <row r="687" spans="2:11" x14ac:dyDescent="0.25">
      <c r="B687" s="9" t="e">
        <f t="shared" si="109"/>
        <v>#N/A</v>
      </c>
      <c r="C687" s="10" t="e">
        <f t="shared" si="101"/>
        <v>#N/A</v>
      </c>
      <c r="D687" s="11" t="str">
        <f>IF(ISERROR(B687),"",bsolve($B687,$E$2,$E$4,$E$8,$E$9))</f>
        <v/>
      </c>
      <c r="E687" s="11" t="str">
        <f t="shared" si="102"/>
        <v/>
      </c>
      <c r="F687" s="11" t="str">
        <f t="shared" si="105"/>
        <v/>
      </c>
      <c r="G687" s="11" t="str">
        <f t="shared" si="106"/>
        <v/>
      </c>
      <c r="H687" s="19" t="str">
        <f t="shared" si="103"/>
        <v/>
      </c>
      <c r="I687" s="21">
        <f t="shared" si="107"/>
        <v>0</v>
      </c>
      <c r="J687" s="21" t="e">
        <f t="shared" si="104"/>
        <v>#N/A</v>
      </c>
      <c r="K687" s="21" t="str">
        <f t="shared" si="108"/>
        <v/>
      </c>
    </row>
    <row r="688" spans="2:11" x14ac:dyDescent="0.25">
      <c r="B688" s="9" t="e">
        <f t="shared" si="109"/>
        <v>#N/A</v>
      </c>
      <c r="C688" s="10" t="e">
        <f t="shared" si="101"/>
        <v>#N/A</v>
      </c>
      <c r="D688" s="11" t="str">
        <f>IF(ISERROR(B688),"",bsolve($B688,$E$2,$E$4,$E$8,$E$9))</f>
        <v/>
      </c>
      <c r="E688" s="11" t="str">
        <f t="shared" si="102"/>
        <v/>
      </c>
      <c r="F688" s="11" t="str">
        <f t="shared" si="105"/>
        <v/>
      </c>
      <c r="G688" s="11" t="str">
        <f t="shared" si="106"/>
        <v/>
      </c>
      <c r="H688" s="19" t="str">
        <f t="shared" si="103"/>
        <v/>
      </c>
      <c r="I688" s="21">
        <f t="shared" si="107"/>
        <v>0</v>
      </c>
      <c r="J688" s="21" t="e">
        <f t="shared" si="104"/>
        <v>#N/A</v>
      </c>
      <c r="K688" s="21" t="str">
        <f t="shared" si="108"/>
        <v/>
      </c>
    </row>
    <row r="689" spans="2:11" x14ac:dyDescent="0.25">
      <c r="B689" s="9" t="e">
        <f t="shared" si="109"/>
        <v>#N/A</v>
      </c>
      <c r="C689" s="10" t="e">
        <f t="shared" si="101"/>
        <v>#N/A</v>
      </c>
      <c r="D689" s="11" t="str">
        <f>IF(ISERROR(B689),"",bsolve($B689,$E$2,$E$4,$E$8,$E$9))</f>
        <v/>
      </c>
      <c r="E689" s="11" t="str">
        <f t="shared" si="102"/>
        <v/>
      </c>
      <c r="F689" s="11" t="str">
        <f t="shared" si="105"/>
        <v/>
      </c>
      <c r="G689" s="11" t="str">
        <f t="shared" si="106"/>
        <v/>
      </c>
      <c r="H689" s="19" t="str">
        <f t="shared" si="103"/>
        <v/>
      </c>
      <c r="I689" s="21">
        <f t="shared" si="107"/>
        <v>0</v>
      </c>
      <c r="J689" s="21" t="e">
        <f t="shared" si="104"/>
        <v>#N/A</v>
      </c>
      <c r="K689" s="21" t="str">
        <f t="shared" si="108"/>
        <v/>
      </c>
    </row>
    <row r="690" spans="2:11" x14ac:dyDescent="0.25">
      <c r="B690" s="9" t="e">
        <f t="shared" si="109"/>
        <v>#N/A</v>
      </c>
      <c r="C690" s="10" t="e">
        <f t="shared" si="101"/>
        <v>#N/A</v>
      </c>
      <c r="D690" s="11" t="str">
        <f>IF(ISERROR(B690),"",bsolve($B690,$E$2,$E$4,$E$8,$E$9))</f>
        <v/>
      </c>
      <c r="E690" s="11" t="str">
        <f t="shared" si="102"/>
        <v/>
      </c>
      <c r="F690" s="11" t="str">
        <f t="shared" si="105"/>
        <v/>
      </c>
      <c r="G690" s="11" t="str">
        <f t="shared" si="106"/>
        <v/>
      </c>
      <c r="H690" s="19" t="str">
        <f t="shared" si="103"/>
        <v/>
      </c>
      <c r="I690" s="21">
        <f t="shared" si="107"/>
        <v>0</v>
      </c>
      <c r="J690" s="21" t="e">
        <f t="shared" si="104"/>
        <v>#N/A</v>
      </c>
      <c r="K690" s="21" t="str">
        <f t="shared" si="108"/>
        <v/>
      </c>
    </row>
    <row r="691" spans="2:11" x14ac:dyDescent="0.25">
      <c r="B691" s="9" t="e">
        <f t="shared" si="109"/>
        <v>#N/A</v>
      </c>
      <c r="C691" s="10" t="e">
        <f t="shared" si="101"/>
        <v>#N/A</v>
      </c>
      <c r="D691" s="11" t="str">
        <f>IF(ISERROR(B691),"",bsolve($B691,$E$2,$E$4,$E$8,$E$9))</f>
        <v/>
      </c>
      <c r="E691" s="11" t="str">
        <f t="shared" si="102"/>
        <v/>
      </c>
      <c r="F691" s="11" t="str">
        <f t="shared" si="105"/>
        <v/>
      </c>
      <c r="G691" s="11" t="str">
        <f t="shared" si="106"/>
        <v/>
      </c>
      <c r="H691" s="19" t="str">
        <f t="shared" si="103"/>
        <v/>
      </c>
      <c r="I691" s="21">
        <f t="shared" si="107"/>
        <v>0</v>
      </c>
      <c r="J691" s="21" t="e">
        <f t="shared" si="104"/>
        <v>#N/A</v>
      </c>
      <c r="K691" s="21" t="str">
        <f t="shared" si="108"/>
        <v/>
      </c>
    </row>
    <row r="692" spans="2:11" x14ac:dyDescent="0.25">
      <c r="B692" s="9" t="e">
        <f t="shared" si="109"/>
        <v>#N/A</v>
      </c>
      <c r="C692" s="10" t="e">
        <f t="shared" si="101"/>
        <v>#N/A</v>
      </c>
      <c r="D692" s="11" t="str">
        <f>IF(ISERROR(B692),"",bsolve($B692,$E$2,$E$4,$E$8,$E$9))</f>
        <v/>
      </c>
      <c r="E692" s="11" t="str">
        <f t="shared" si="102"/>
        <v/>
      </c>
      <c r="F692" s="11" t="str">
        <f t="shared" si="105"/>
        <v/>
      </c>
      <c r="G692" s="11" t="str">
        <f t="shared" si="106"/>
        <v/>
      </c>
      <c r="H692" s="19" t="str">
        <f t="shared" si="103"/>
        <v/>
      </c>
      <c r="I692" s="21">
        <f t="shared" si="107"/>
        <v>0</v>
      </c>
      <c r="J692" s="21" t="e">
        <f t="shared" si="104"/>
        <v>#N/A</v>
      </c>
      <c r="K692" s="21" t="str">
        <f t="shared" si="108"/>
        <v/>
      </c>
    </row>
    <row r="693" spans="2:11" x14ac:dyDescent="0.25">
      <c r="B693" s="9" t="e">
        <f t="shared" si="109"/>
        <v>#N/A</v>
      </c>
      <c r="C693" s="10" t="e">
        <f t="shared" si="101"/>
        <v>#N/A</v>
      </c>
      <c r="D693" s="11" t="str">
        <f>IF(ISERROR(B693),"",bsolve($B693,$E$2,$E$4,$E$8,$E$9))</f>
        <v/>
      </c>
      <c r="E693" s="11" t="str">
        <f t="shared" si="102"/>
        <v/>
      </c>
      <c r="F693" s="11" t="str">
        <f t="shared" si="105"/>
        <v/>
      </c>
      <c r="G693" s="11" t="str">
        <f t="shared" si="106"/>
        <v/>
      </c>
      <c r="H693" s="19" t="str">
        <f t="shared" si="103"/>
        <v/>
      </c>
      <c r="I693" s="21">
        <f t="shared" si="107"/>
        <v>0</v>
      </c>
      <c r="J693" s="21" t="e">
        <f t="shared" si="104"/>
        <v>#N/A</v>
      </c>
      <c r="K693" s="21" t="str">
        <f t="shared" si="108"/>
        <v/>
      </c>
    </row>
    <row r="694" spans="2:11" x14ac:dyDescent="0.25">
      <c r="B694" s="9" t="e">
        <f t="shared" si="109"/>
        <v>#N/A</v>
      </c>
      <c r="C694" s="10" t="e">
        <f t="shared" si="101"/>
        <v>#N/A</v>
      </c>
      <c r="D694" s="11" t="str">
        <f>IF(ISERROR(B694),"",bsolve($B694,$E$2,$E$4,$E$8,$E$9))</f>
        <v/>
      </c>
      <c r="E694" s="11" t="str">
        <f t="shared" si="102"/>
        <v/>
      </c>
      <c r="F694" s="11" t="str">
        <f t="shared" si="105"/>
        <v/>
      </c>
      <c r="G694" s="11" t="str">
        <f t="shared" si="106"/>
        <v/>
      </c>
      <c r="H694" s="19" t="str">
        <f t="shared" si="103"/>
        <v/>
      </c>
      <c r="I694" s="21">
        <f t="shared" si="107"/>
        <v>0</v>
      </c>
      <c r="J694" s="21" t="e">
        <f t="shared" si="104"/>
        <v>#N/A</v>
      </c>
      <c r="K694" s="21" t="str">
        <f t="shared" si="108"/>
        <v/>
      </c>
    </row>
    <row r="695" spans="2:11" x14ac:dyDescent="0.25">
      <c r="B695" s="9" t="e">
        <f t="shared" si="109"/>
        <v>#N/A</v>
      </c>
      <c r="C695" s="10" t="e">
        <f t="shared" si="101"/>
        <v>#N/A</v>
      </c>
      <c r="D695" s="11" t="str">
        <f>IF(ISERROR(B695),"",bsolve($B695,$E$2,$E$4,$E$8,$E$9))</f>
        <v/>
      </c>
      <c r="E695" s="11" t="str">
        <f t="shared" si="102"/>
        <v/>
      </c>
      <c r="F695" s="11" t="str">
        <f t="shared" si="105"/>
        <v/>
      </c>
      <c r="G695" s="11" t="str">
        <f t="shared" si="106"/>
        <v/>
      </c>
      <c r="H695" s="19" t="str">
        <f t="shared" si="103"/>
        <v/>
      </c>
      <c r="I695" s="21">
        <f t="shared" si="107"/>
        <v>0</v>
      </c>
      <c r="J695" s="21" t="e">
        <f t="shared" si="104"/>
        <v>#N/A</v>
      </c>
      <c r="K695" s="21" t="str">
        <f t="shared" si="108"/>
        <v/>
      </c>
    </row>
    <row r="696" spans="2:11" x14ac:dyDescent="0.25">
      <c r="B696" s="9" t="e">
        <f t="shared" si="109"/>
        <v>#N/A</v>
      </c>
      <c r="C696" s="10" t="e">
        <f t="shared" si="101"/>
        <v>#N/A</v>
      </c>
      <c r="D696" s="11" t="str">
        <f>IF(ISERROR(B696),"",bsolve($B696,$E$2,$E$4,$E$8,$E$9))</f>
        <v/>
      </c>
      <c r="E696" s="11" t="str">
        <f t="shared" si="102"/>
        <v/>
      </c>
      <c r="F696" s="11" t="str">
        <f t="shared" si="105"/>
        <v/>
      </c>
      <c r="G696" s="11" t="str">
        <f t="shared" si="106"/>
        <v/>
      </c>
      <c r="H696" s="19" t="str">
        <f t="shared" si="103"/>
        <v/>
      </c>
      <c r="I696" s="21">
        <f t="shared" si="107"/>
        <v>0</v>
      </c>
      <c r="J696" s="21" t="e">
        <f t="shared" si="104"/>
        <v>#N/A</v>
      </c>
      <c r="K696" s="21" t="str">
        <f t="shared" si="108"/>
        <v/>
      </c>
    </row>
    <row r="697" spans="2:11" x14ac:dyDescent="0.25">
      <c r="B697" s="9" t="e">
        <f t="shared" si="109"/>
        <v>#N/A</v>
      </c>
      <c r="C697" s="10" t="e">
        <f t="shared" si="101"/>
        <v>#N/A</v>
      </c>
      <c r="D697" s="11" t="str">
        <f>IF(ISERROR(B697),"",bsolve($B697,$E$2,$E$4,$E$8,$E$9))</f>
        <v/>
      </c>
      <c r="E697" s="11" t="str">
        <f t="shared" si="102"/>
        <v/>
      </c>
      <c r="F697" s="11" t="str">
        <f t="shared" si="105"/>
        <v/>
      </c>
      <c r="G697" s="11" t="str">
        <f t="shared" si="106"/>
        <v/>
      </c>
      <c r="H697" s="19" t="str">
        <f t="shared" si="103"/>
        <v/>
      </c>
      <c r="I697" s="21">
        <f t="shared" si="107"/>
        <v>0</v>
      </c>
      <c r="J697" s="21" t="e">
        <f t="shared" si="104"/>
        <v>#N/A</v>
      </c>
      <c r="K697" s="21" t="str">
        <f t="shared" si="108"/>
        <v/>
      </c>
    </row>
    <row r="698" spans="2:11" x14ac:dyDescent="0.25">
      <c r="B698" s="9" t="e">
        <f t="shared" si="109"/>
        <v>#N/A</v>
      </c>
      <c r="C698" s="10" t="e">
        <f t="shared" si="101"/>
        <v>#N/A</v>
      </c>
      <c r="D698" s="11" t="str">
        <f>IF(ISERROR(B698),"",bsolve($B698,$E$2,$E$4,$E$8,$E$9))</f>
        <v/>
      </c>
      <c r="E698" s="11" t="str">
        <f t="shared" si="102"/>
        <v/>
      </c>
      <c r="F698" s="11" t="str">
        <f t="shared" si="105"/>
        <v/>
      </c>
      <c r="G698" s="11" t="str">
        <f t="shared" si="106"/>
        <v/>
      </c>
      <c r="H698" s="19" t="str">
        <f t="shared" si="103"/>
        <v/>
      </c>
      <c r="I698" s="21">
        <f t="shared" si="107"/>
        <v>0</v>
      </c>
      <c r="J698" s="21" t="e">
        <f t="shared" si="104"/>
        <v>#N/A</v>
      </c>
      <c r="K698" s="21" t="str">
        <f t="shared" si="108"/>
        <v/>
      </c>
    </row>
    <row r="699" spans="2:11" x14ac:dyDescent="0.25">
      <c r="B699" s="9" t="e">
        <f t="shared" si="109"/>
        <v>#N/A</v>
      </c>
      <c r="C699" s="10" t="e">
        <f t="shared" si="101"/>
        <v>#N/A</v>
      </c>
      <c r="D699" s="11" t="str">
        <f>IF(ISERROR(B699),"",bsolve($B699,$E$2,$E$4,$E$8,$E$9))</f>
        <v/>
      </c>
      <c r="E699" s="11" t="str">
        <f t="shared" si="102"/>
        <v/>
      </c>
      <c r="F699" s="11" t="str">
        <f t="shared" si="105"/>
        <v/>
      </c>
      <c r="G699" s="11" t="str">
        <f t="shared" si="106"/>
        <v/>
      </c>
      <c r="H699" s="19" t="str">
        <f t="shared" si="103"/>
        <v/>
      </c>
      <c r="I699" s="21">
        <f t="shared" si="107"/>
        <v>0</v>
      </c>
      <c r="J699" s="21" t="e">
        <f t="shared" si="104"/>
        <v>#N/A</v>
      </c>
      <c r="K699" s="21" t="str">
        <f t="shared" si="108"/>
        <v/>
      </c>
    </row>
    <row r="700" spans="2:11" x14ac:dyDescent="0.25">
      <c r="B700" s="9" t="e">
        <f t="shared" si="109"/>
        <v>#N/A</v>
      </c>
      <c r="C700" s="10" t="e">
        <f t="shared" si="101"/>
        <v>#N/A</v>
      </c>
      <c r="D700" s="11" t="str">
        <f>IF(ISERROR(B700),"",bsolve($B700,$E$2,$E$4,$E$8,$E$9))</f>
        <v/>
      </c>
      <c r="E700" s="11" t="str">
        <f t="shared" si="102"/>
        <v/>
      </c>
      <c r="F700" s="11" t="str">
        <f t="shared" si="105"/>
        <v/>
      </c>
      <c r="G700" s="11" t="str">
        <f t="shared" si="106"/>
        <v/>
      </c>
      <c r="H700" s="19" t="str">
        <f t="shared" si="103"/>
        <v/>
      </c>
      <c r="I700" s="21">
        <f t="shared" si="107"/>
        <v>0</v>
      </c>
      <c r="J700" s="21" t="e">
        <f t="shared" si="104"/>
        <v>#N/A</v>
      </c>
      <c r="K700" s="21" t="str">
        <f t="shared" si="108"/>
        <v/>
      </c>
    </row>
    <row r="701" spans="2:11" x14ac:dyDescent="0.25">
      <c r="B701" s="9" t="e">
        <f t="shared" si="109"/>
        <v>#N/A</v>
      </c>
      <c r="C701" s="10" t="e">
        <f t="shared" si="101"/>
        <v>#N/A</v>
      </c>
      <c r="D701" s="11" t="str">
        <f>IF(ISERROR(B701),"",bsolve($B701,$E$2,$E$4,$E$8,$E$9))</f>
        <v/>
      </c>
      <c r="E701" s="11" t="str">
        <f t="shared" si="102"/>
        <v/>
      </c>
      <c r="F701" s="11" t="str">
        <f t="shared" si="105"/>
        <v/>
      </c>
      <c r="G701" s="11" t="str">
        <f t="shared" si="106"/>
        <v/>
      </c>
      <c r="H701" s="19" t="str">
        <f t="shared" si="103"/>
        <v/>
      </c>
      <c r="I701" s="21">
        <f t="shared" si="107"/>
        <v>0</v>
      </c>
      <c r="J701" s="21" t="e">
        <f t="shared" si="104"/>
        <v>#N/A</v>
      </c>
      <c r="K701" s="21" t="str">
        <f t="shared" si="108"/>
        <v/>
      </c>
    </row>
    <row r="702" spans="2:11" x14ac:dyDescent="0.25">
      <c r="B702" s="9" t="e">
        <f t="shared" si="109"/>
        <v>#N/A</v>
      </c>
      <c r="C702" s="10" t="e">
        <f t="shared" si="101"/>
        <v>#N/A</v>
      </c>
      <c r="D702" s="11" t="str">
        <f>IF(ISERROR(B702),"",bsolve($B702,$E$2,$E$4,$E$8,$E$9))</f>
        <v/>
      </c>
      <c r="E702" s="11" t="str">
        <f t="shared" si="102"/>
        <v/>
      </c>
      <c r="F702" s="11" t="str">
        <f t="shared" si="105"/>
        <v/>
      </c>
      <c r="G702" s="11" t="str">
        <f t="shared" si="106"/>
        <v/>
      </c>
      <c r="H702" s="19" t="str">
        <f t="shared" si="103"/>
        <v/>
      </c>
      <c r="I702" s="21">
        <f t="shared" si="107"/>
        <v>0</v>
      </c>
      <c r="J702" s="21" t="e">
        <f t="shared" si="104"/>
        <v>#N/A</v>
      </c>
      <c r="K702" s="21" t="str">
        <f t="shared" si="108"/>
        <v/>
      </c>
    </row>
    <row r="703" spans="2:11" x14ac:dyDescent="0.25">
      <c r="B703" s="9" t="e">
        <f t="shared" si="109"/>
        <v>#N/A</v>
      </c>
      <c r="C703" s="10" t="e">
        <f t="shared" si="101"/>
        <v>#N/A</v>
      </c>
      <c r="D703" s="11" t="str">
        <f>IF(ISERROR(B703),"",bsolve($B703,$E$2,$E$4,$E$8,$E$9))</f>
        <v/>
      </c>
      <c r="E703" s="11" t="str">
        <f t="shared" si="102"/>
        <v/>
      </c>
      <c r="F703" s="11" t="str">
        <f t="shared" si="105"/>
        <v/>
      </c>
      <c r="G703" s="11" t="str">
        <f t="shared" si="106"/>
        <v/>
      </c>
      <c r="H703" s="19" t="str">
        <f t="shared" si="103"/>
        <v/>
      </c>
      <c r="I703" s="21">
        <f t="shared" si="107"/>
        <v>0</v>
      </c>
      <c r="J703" s="21" t="e">
        <f t="shared" si="104"/>
        <v>#N/A</v>
      </c>
      <c r="K703" s="21" t="str">
        <f t="shared" si="108"/>
        <v/>
      </c>
    </row>
    <row r="704" spans="2:11" x14ac:dyDescent="0.25">
      <c r="B704" s="9" t="e">
        <f t="shared" si="109"/>
        <v>#N/A</v>
      </c>
      <c r="C704" s="10" t="e">
        <f t="shared" si="101"/>
        <v>#N/A</v>
      </c>
      <c r="D704" s="11" t="str">
        <f>IF(ISERROR(B704),"",bsolve($B704,$E$2,$E$4,$E$8,$E$9))</f>
        <v/>
      </c>
      <c r="E704" s="11" t="str">
        <f t="shared" si="102"/>
        <v/>
      </c>
      <c r="F704" s="11" t="str">
        <f t="shared" si="105"/>
        <v/>
      </c>
      <c r="G704" s="11" t="str">
        <f t="shared" si="106"/>
        <v/>
      </c>
      <c r="H704" s="19" t="str">
        <f t="shared" si="103"/>
        <v/>
      </c>
      <c r="I704" s="21">
        <f t="shared" si="107"/>
        <v>0</v>
      </c>
      <c r="J704" s="21" t="e">
        <f t="shared" si="104"/>
        <v>#N/A</v>
      </c>
      <c r="K704" s="21" t="str">
        <f t="shared" si="108"/>
        <v/>
      </c>
    </row>
    <row r="705" spans="2:11" x14ac:dyDescent="0.25">
      <c r="B705" s="9" t="e">
        <f t="shared" si="109"/>
        <v>#N/A</v>
      </c>
      <c r="C705" s="10" t="e">
        <f t="shared" si="101"/>
        <v>#N/A</v>
      </c>
      <c r="D705" s="11" t="str">
        <f>IF(ISERROR(B705),"",bsolve($B705,$E$2,$E$4,$E$8,$E$9))</f>
        <v/>
      </c>
      <c r="E705" s="11" t="str">
        <f t="shared" si="102"/>
        <v/>
      </c>
      <c r="F705" s="11" t="str">
        <f t="shared" si="105"/>
        <v/>
      </c>
      <c r="G705" s="11" t="str">
        <f t="shared" si="106"/>
        <v/>
      </c>
      <c r="H705" s="19" t="str">
        <f t="shared" si="103"/>
        <v/>
      </c>
      <c r="I705" s="21">
        <f t="shared" si="107"/>
        <v>0</v>
      </c>
      <c r="J705" s="21" t="e">
        <f t="shared" si="104"/>
        <v>#N/A</v>
      </c>
      <c r="K705" s="21" t="str">
        <f t="shared" si="108"/>
        <v/>
      </c>
    </row>
    <row r="706" spans="2:11" x14ac:dyDescent="0.25">
      <c r="B706" s="9" t="e">
        <f t="shared" si="109"/>
        <v>#N/A</v>
      </c>
      <c r="C706" s="10" t="e">
        <f t="shared" si="101"/>
        <v>#N/A</v>
      </c>
      <c r="D706" s="11" t="str">
        <f>IF(ISERROR(B706),"",bsolve($B706,$E$2,$E$4,$E$8,$E$9))</f>
        <v/>
      </c>
      <c r="E706" s="11" t="str">
        <f t="shared" si="102"/>
        <v/>
      </c>
      <c r="F706" s="11" t="str">
        <f t="shared" si="105"/>
        <v/>
      </c>
      <c r="G706" s="11" t="str">
        <f t="shared" si="106"/>
        <v/>
      </c>
      <c r="H706" s="19" t="str">
        <f t="shared" si="103"/>
        <v/>
      </c>
      <c r="I706" s="21">
        <f t="shared" si="107"/>
        <v>0</v>
      </c>
      <c r="J706" s="21" t="e">
        <f t="shared" si="104"/>
        <v>#N/A</v>
      </c>
      <c r="K706" s="21" t="str">
        <f t="shared" si="108"/>
        <v/>
      </c>
    </row>
    <row r="707" spans="2:11" x14ac:dyDescent="0.25">
      <c r="B707" s="9" t="e">
        <f t="shared" si="109"/>
        <v>#N/A</v>
      </c>
      <c r="C707" s="10" t="e">
        <f t="shared" si="101"/>
        <v>#N/A</v>
      </c>
      <c r="D707" s="11" t="str">
        <f>IF(ISERROR(B707),"",bsolve($B707,$E$2,$E$4,$E$8,$E$9))</f>
        <v/>
      </c>
      <c r="E707" s="11" t="str">
        <f t="shared" si="102"/>
        <v/>
      </c>
      <c r="F707" s="11" t="str">
        <f t="shared" si="105"/>
        <v/>
      </c>
      <c r="G707" s="11" t="str">
        <f t="shared" si="106"/>
        <v/>
      </c>
      <c r="H707" s="19" t="str">
        <f t="shared" si="103"/>
        <v/>
      </c>
      <c r="I707" s="21">
        <f t="shared" si="107"/>
        <v>0</v>
      </c>
      <c r="J707" s="21" t="e">
        <f t="shared" si="104"/>
        <v>#N/A</v>
      </c>
      <c r="K707" s="21" t="str">
        <f t="shared" si="108"/>
        <v/>
      </c>
    </row>
    <row r="708" spans="2:11" x14ac:dyDescent="0.25">
      <c r="B708" s="9" t="e">
        <f t="shared" si="109"/>
        <v>#N/A</v>
      </c>
      <c r="C708" s="10" t="e">
        <f t="shared" si="101"/>
        <v>#N/A</v>
      </c>
      <c r="D708" s="11" t="str">
        <f>IF(ISERROR(B708),"",bsolve($B708,$E$2,$E$4,$E$8,$E$9))</f>
        <v/>
      </c>
      <c r="E708" s="11" t="str">
        <f t="shared" si="102"/>
        <v/>
      </c>
      <c r="F708" s="11" t="str">
        <f t="shared" si="105"/>
        <v/>
      </c>
      <c r="G708" s="11" t="str">
        <f t="shared" si="106"/>
        <v/>
      </c>
      <c r="H708" s="19" t="str">
        <f t="shared" si="103"/>
        <v/>
      </c>
      <c r="I708" s="21">
        <f t="shared" si="107"/>
        <v>0</v>
      </c>
      <c r="J708" s="21" t="e">
        <f t="shared" si="104"/>
        <v>#N/A</v>
      </c>
      <c r="K708" s="21" t="str">
        <f t="shared" si="108"/>
        <v/>
      </c>
    </row>
    <row r="709" spans="2:11" x14ac:dyDescent="0.25">
      <c r="B709" s="9" t="e">
        <f t="shared" si="109"/>
        <v>#N/A</v>
      </c>
      <c r="C709" s="10" t="e">
        <f t="shared" si="101"/>
        <v>#N/A</v>
      </c>
      <c r="D709" s="11" t="str">
        <f>IF(ISERROR(B709),"",bsolve($B709,$E$2,$E$4,$E$8,$E$9))</f>
        <v/>
      </c>
      <c r="E709" s="11" t="str">
        <f t="shared" si="102"/>
        <v/>
      </c>
      <c r="F709" s="11" t="str">
        <f t="shared" si="105"/>
        <v/>
      </c>
      <c r="G709" s="11" t="str">
        <f t="shared" si="106"/>
        <v/>
      </c>
      <c r="H709" s="19" t="str">
        <f t="shared" si="103"/>
        <v/>
      </c>
      <c r="I709" s="21">
        <f t="shared" si="107"/>
        <v>0</v>
      </c>
      <c r="J709" s="21" t="e">
        <f t="shared" si="104"/>
        <v>#N/A</v>
      </c>
      <c r="K709" s="21" t="str">
        <f t="shared" si="108"/>
        <v/>
      </c>
    </row>
    <row r="710" spans="2:11" x14ac:dyDescent="0.25">
      <c r="B710" s="9" t="e">
        <f t="shared" si="109"/>
        <v>#N/A</v>
      </c>
      <c r="C710" s="10" t="e">
        <f t="shared" si="101"/>
        <v>#N/A</v>
      </c>
      <c r="D710" s="11" t="str">
        <f>IF(ISERROR(B710),"",bsolve($B710,$E$2,$E$4,$E$8,$E$9))</f>
        <v/>
      </c>
      <c r="E710" s="11" t="str">
        <f t="shared" si="102"/>
        <v/>
      </c>
      <c r="F710" s="11" t="str">
        <f t="shared" si="105"/>
        <v/>
      </c>
      <c r="G710" s="11" t="str">
        <f t="shared" si="106"/>
        <v/>
      </c>
      <c r="H710" s="19" t="str">
        <f t="shared" si="103"/>
        <v/>
      </c>
      <c r="I710" s="21">
        <f t="shared" si="107"/>
        <v>0</v>
      </c>
      <c r="J710" s="21" t="e">
        <f t="shared" si="104"/>
        <v>#N/A</v>
      </c>
      <c r="K710" s="21" t="str">
        <f t="shared" si="108"/>
        <v/>
      </c>
    </row>
    <row r="711" spans="2:11" x14ac:dyDescent="0.25">
      <c r="B711" s="9" t="e">
        <f t="shared" si="109"/>
        <v>#N/A</v>
      </c>
      <c r="C711" s="10" t="e">
        <f t="shared" si="101"/>
        <v>#N/A</v>
      </c>
      <c r="D711" s="11" t="str">
        <f>IF(ISERROR(B711),"",bsolve($B711,$E$2,$E$4,$E$8,$E$9))</f>
        <v/>
      </c>
      <c r="E711" s="11" t="str">
        <f t="shared" si="102"/>
        <v/>
      </c>
      <c r="F711" s="11" t="str">
        <f t="shared" si="105"/>
        <v/>
      </c>
      <c r="G711" s="11" t="str">
        <f t="shared" si="106"/>
        <v/>
      </c>
      <c r="H711" s="19" t="str">
        <f t="shared" si="103"/>
        <v/>
      </c>
      <c r="I711" s="21">
        <f t="shared" si="107"/>
        <v>0</v>
      </c>
      <c r="J711" s="21" t="e">
        <f t="shared" si="104"/>
        <v>#N/A</v>
      </c>
      <c r="K711" s="21" t="str">
        <f t="shared" si="108"/>
        <v/>
      </c>
    </row>
    <row r="712" spans="2:11" x14ac:dyDescent="0.25">
      <c r="B712" s="9" t="e">
        <f t="shared" si="109"/>
        <v>#N/A</v>
      </c>
      <c r="C712" s="10" t="e">
        <f t="shared" si="101"/>
        <v>#N/A</v>
      </c>
      <c r="D712" s="11" t="str">
        <f>IF(ISERROR(B712),"",bsolve($B712,$E$2,$E$4,$E$8,$E$9))</f>
        <v/>
      </c>
      <c r="E712" s="11" t="str">
        <f t="shared" si="102"/>
        <v/>
      </c>
      <c r="F712" s="11" t="str">
        <f t="shared" si="105"/>
        <v/>
      </c>
      <c r="G712" s="11" t="str">
        <f t="shared" si="106"/>
        <v/>
      </c>
      <c r="H712" s="19" t="str">
        <f t="shared" si="103"/>
        <v/>
      </c>
      <c r="I712" s="21">
        <f t="shared" si="107"/>
        <v>0</v>
      </c>
      <c r="J712" s="21" t="e">
        <f t="shared" si="104"/>
        <v>#N/A</v>
      </c>
      <c r="K712" s="21" t="str">
        <f t="shared" si="108"/>
        <v/>
      </c>
    </row>
    <row r="713" spans="2:11" x14ac:dyDescent="0.25">
      <c r="B713" s="9" t="e">
        <f t="shared" si="109"/>
        <v>#N/A</v>
      </c>
      <c r="C713" s="10" t="e">
        <f t="shared" si="101"/>
        <v>#N/A</v>
      </c>
      <c r="D713" s="11" t="str">
        <f>IF(ISERROR(B713),"",bsolve($B713,$E$2,$E$4,$E$8,$E$9))</f>
        <v/>
      </c>
      <c r="E713" s="11" t="str">
        <f t="shared" si="102"/>
        <v/>
      </c>
      <c r="F713" s="11" t="str">
        <f t="shared" si="105"/>
        <v/>
      </c>
      <c r="G713" s="11" t="str">
        <f t="shared" si="106"/>
        <v/>
      </c>
      <c r="H713" s="19" t="str">
        <f t="shared" si="103"/>
        <v/>
      </c>
      <c r="I713" s="21">
        <f t="shared" si="107"/>
        <v>0</v>
      </c>
      <c r="J713" s="21" t="e">
        <f t="shared" si="104"/>
        <v>#N/A</v>
      </c>
      <c r="K713" s="21" t="str">
        <f t="shared" si="108"/>
        <v/>
      </c>
    </row>
    <row r="714" spans="2:11" x14ac:dyDescent="0.25">
      <c r="B714" s="9" t="e">
        <f t="shared" si="109"/>
        <v>#N/A</v>
      </c>
      <c r="C714" s="10" t="e">
        <f t="shared" si="101"/>
        <v>#N/A</v>
      </c>
      <c r="D714" s="11" t="str">
        <f>IF(ISERROR(B714),"",bsolve($B714,$E$2,$E$4,$E$8,$E$9))</f>
        <v/>
      </c>
      <c r="E714" s="11" t="str">
        <f t="shared" si="102"/>
        <v/>
      </c>
      <c r="F714" s="11" t="str">
        <f t="shared" si="105"/>
        <v/>
      </c>
      <c r="G714" s="11" t="str">
        <f t="shared" si="106"/>
        <v/>
      </c>
      <c r="H714" s="19" t="str">
        <f t="shared" si="103"/>
        <v/>
      </c>
      <c r="I714" s="21">
        <f t="shared" si="107"/>
        <v>0</v>
      </c>
      <c r="J714" s="21" t="e">
        <f t="shared" si="104"/>
        <v>#N/A</v>
      </c>
      <c r="K714" s="21" t="str">
        <f t="shared" si="108"/>
        <v/>
      </c>
    </row>
    <row r="715" spans="2:11" x14ac:dyDescent="0.25">
      <c r="B715" s="9" t="e">
        <f t="shared" si="109"/>
        <v>#N/A</v>
      </c>
      <c r="C715" s="10" t="e">
        <f t="shared" si="101"/>
        <v>#N/A</v>
      </c>
      <c r="D715" s="11" t="str">
        <f>IF(ISERROR(B715),"",bsolve($B715,$E$2,$E$4,$E$8,$E$9))</f>
        <v/>
      </c>
      <c r="E715" s="11" t="str">
        <f t="shared" si="102"/>
        <v/>
      </c>
      <c r="F715" s="11" t="str">
        <f t="shared" si="105"/>
        <v/>
      </c>
      <c r="G715" s="11" t="str">
        <f t="shared" si="106"/>
        <v/>
      </c>
      <c r="H715" s="19" t="str">
        <f t="shared" si="103"/>
        <v/>
      </c>
      <c r="I715" s="21">
        <f t="shared" si="107"/>
        <v>0</v>
      </c>
      <c r="J715" s="21" t="e">
        <f t="shared" si="104"/>
        <v>#N/A</v>
      </c>
      <c r="K715" s="21" t="str">
        <f t="shared" si="108"/>
        <v/>
      </c>
    </row>
    <row r="716" spans="2:11" x14ac:dyDescent="0.25">
      <c r="B716" s="9" t="e">
        <f t="shared" si="109"/>
        <v>#N/A</v>
      </c>
      <c r="C716" s="10" t="e">
        <f t="shared" si="101"/>
        <v>#N/A</v>
      </c>
      <c r="D716" s="11" t="str">
        <f>IF(ISERROR(B716),"",bsolve($B716,$E$2,$E$4,$E$8,$E$9))</f>
        <v/>
      </c>
      <c r="E716" s="11" t="str">
        <f t="shared" si="102"/>
        <v/>
      </c>
      <c r="F716" s="11" t="str">
        <f t="shared" si="105"/>
        <v/>
      </c>
      <c r="G716" s="11" t="str">
        <f t="shared" si="106"/>
        <v/>
      </c>
      <c r="H716" s="19" t="str">
        <f t="shared" si="103"/>
        <v/>
      </c>
      <c r="I716" s="21">
        <f t="shared" si="107"/>
        <v>0</v>
      </c>
      <c r="J716" s="21" t="e">
        <f t="shared" si="104"/>
        <v>#N/A</v>
      </c>
      <c r="K716" s="21" t="str">
        <f t="shared" si="108"/>
        <v/>
      </c>
    </row>
    <row r="717" spans="2:11" x14ac:dyDescent="0.25">
      <c r="B717" s="9" t="e">
        <f t="shared" si="109"/>
        <v>#N/A</v>
      </c>
      <c r="C717" s="10" t="e">
        <f t="shared" si="101"/>
        <v>#N/A</v>
      </c>
      <c r="D717" s="11" t="str">
        <f>IF(ISERROR(B717),"",bsolve($B717,$E$2,$E$4,$E$8,$E$9))</f>
        <v/>
      </c>
      <c r="E717" s="11" t="str">
        <f t="shared" si="102"/>
        <v/>
      </c>
      <c r="F717" s="11" t="str">
        <f t="shared" si="105"/>
        <v/>
      </c>
      <c r="G717" s="11" t="str">
        <f t="shared" si="106"/>
        <v/>
      </c>
      <c r="H717" s="19" t="str">
        <f t="shared" si="103"/>
        <v/>
      </c>
      <c r="I717" s="21">
        <f t="shared" si="107"/>
        <v>0</v>
      </c>
      <c r="J717" s="21" t="e">
        <f t="shared" si="104"/>
        <v>#N/A</v>
      </c>
      <c r="K717" s="21" t="str">
        <f t="shared" si="108"/>
        <v/>
      </c>
    </row>
    <row r="718" spans="2:11" x14ac:dyDescent="0.25">
      <c r="B718" s="9" t="e">
        <f t="shared" si="109"/>
        <v>#N/A</v>
      </c>
      <c r="C718" s="10" t="e">
        <f t="shared" si="101"/>
        <v>#N/A</v>
      </c>
      <c r="D718" s="11" t="str">
        <f>IF(ISERROR(B718),"",bsolve($B718,$E$2,$E$4,$E$8,$E$9))</f>
        <v/>
      </c>
      <c r="E718" s="11" t="str">
        <f t="shared" si="102"/>
        <v/>
      </c>
      <c r="F718" s="11" t="str">
        <f t="shared" si="105"/>
        <v/>
      </c>
      <c r="G718" s="11" t="str">
        <f t="shared" si="106"/>
        <v/>
      </c>
      <c r="H718" s="19" t="str">
        <f t="shared" si="103"/>
        <v/>
      </c>
      <c r="I718" s="21">
        <f t="shared" si="107"/>
        <v>0</v>
      </c>
      <c r="J718" s="21" t="e">
        <f t="shared" si="104"/>
        <v>#N/A</v>
      </c>
      <c r="K718" s="21" t="str">
        <f t="shared" si="108"/>
        <v/>
      </c>
    </row>
    <row r="719" spans="2:11" x14ac:dyDescent="0.25">
      <c r="B719" s="9" t="e">
        <f t="shared" si="109"/>
        <v>#N/A</v>
      </c>
      <c r="C719" s="10" t="e">
        <f t="shared" si="101"/>
        <v>#N/A</v>
      </c>
      <c r="D719" s="11" t="str">
        <f>IF(ISERROR(B719),"",bsolve($B719,$E$2,$E$4,$E$8,$E$9))</f>
        <v/>
      </c>
      <c r="E719" s="11" t="str">
        <f t="shared" si="102"/>
        <v/>
      </c>
      <c r="F719" s="11" t="str">
        <f t="shared" si="105"/>
        <v/>
      </c>
      <c r="G719" s="11" t="str">
        <f t="shared" si="106"/>
        <v/>
      </c>
      <c r="H719" s="19" t="str">
        <f t="shared" si="103"/>
        <v/>
      </c>
      <c r="I719" s="21">
        <f t="shared" si="107"/>
        <v>0</v>
      </c>
      <c r="J719" s="21" t="e">
        <f t="shared" si="104"/>
        <v>#N/A</v>
      </c>
      <c r="K719" s="21" t="str">
        <f t="shared" si="108"/>
        <v/>
      </c>
    </row>
    <row r="720" spans="2:11" x14ac:dyDescent="0.25">
      <c r="B720" s="9" t="e">
        <f t="shared" si="109"/>
        <v>#N/A</v>
      </c>
      <c r="C720" s="10" t="e">
        <f t="shared" si="101"/>
        <v>#N/A</v>
      </c>
      <c r="D720" s="11" t="str">
        <f>IF(ISERROR(B720),"",bsolve($B720,$E$2,$E$4,$E$8,$E$9))</f>
        <v/>
      </c>
      <c r="E720" s="11" t="str">
        <f t="shared" si="102"/>
        <v/>
      </c>
      <c r="F720" s="11" t="str">
        <f t="shared" si="105"/>
        <v/>
      </c>
      <c r="G720" s="11" t="str">
        <f t="shared" si="106"/>
        <v/>
      </c>
      <c r="H720" s="19" t="str">
        <f t="shared" si="103"/>
        <v/>
      </c>
      <c r="I720" s="21">
        <f t="shared" si="107"/>
        <v>0</v>
      </c>
      <c r="J720" s="21" t="e">
        <f t="shared" si="104"/>
        <v>#N/A</v>
      </c>
      <c r="K720" s="21" t="str">
        <f t="shared" si="108"/>
        <v/>
      </c>
    </row>
    <row r="721" spans="2:11" x14ac:dyDescent="0.25">
      <c r="B721" s="9" t="e">
        <f t="shared" si="109"/>
        <v>#N/A</v>
      </c>
      <c r="C721" s="10" t="e">
        <f t="shared" si="101"/>
        <v>#N/A</v>
      </c>
      <c r="D721" s="11" t="str">
        <f>IF(ISERROR(B721),"",bsolve($B721,$E$2,$E$4,$E$8,$E$9))</f>
        <v/>
      </c>
      <c r="E721" s="11" t="str">
        <f t="shared" si="102"/>
        <v/>
      </c>
      <c r="F721" s="11" t="str">
        <f t="shared" si="105"/>
        <v/>
      </c>
      <c r="G721" s="11" t="str">
        <f t="shared" si="106"/>
        <v/>
      </c>
      <c r="H721" s="19" t="str">
        <f t="shared" si="103"/>
        <v/>
      </c>
      <c r="I721" s="21">
        <f t="shared" si="107"/>
        <v>0</v>
      </c>
      <c r="J721" s="21" t="e">
        <f t="shared" si="104"/>
        <v>#N/A</v>
      </c>
      <c r="K721" s="21" t="str">
        <f t="shared" si="108"/>
        <v/>
      </c>
    </row>
    <row r="722" spans="2:11" x14ac:dyDescent="0.25">
      <c r="B722" s="9" t="e">
        <f t="shared" si="109"/>
        <v>#N/A</v>
      </c>
      <c r="C722" s="10" t="e">
        <f t="shared" ref="C722:C785" si="110">IF(B722="","",100*B722/$E$2)</f>
        <v>#N/A</v>
      </c>
      <c r="D722" s="11" t="str">
        <f>IF(ISERROR(B722),"",bsolve($B722,$E$2,$E$4,$E$8,$E$9))</f>
        <v/>
      </c>
      <c r="E722" s="11" t="str">
        <f t="shared" ref="E722:E785" si="111">IF(ISERROR(B722),"",IF(AND($E$7&lt;$E$5,C722&gt;=($E$5*100)),D722,0))</f>
        <v/>
      </c>
      <c r="F722" s="11" t="str">
        <f t="shared" si="105"/>
        <v/>
      </c>
      <c r="G722" s="11" t="str">
        <f t="shared" si="106"/>
        <v/>
      </c>
      <c r="H722" s="19" t="str">
        <f t="shared" ref="H722:H785" si="112">IF(ISERROR(B722),"",100*((B722*(1-$E$9))+($E$2-B722)*$E$8)/$E$2)</f>
        <v/>
      </c>
      <c r="I722" s="21">
        <f t="shared" si="107"/>
        <v>0</v>
      </c>
      <c r="J722" s="21" t="e">
        <f t="shared" ref="J722:J785" si="113">IF(ISERROR(B722),NA(),IF(AND(H722&gt;=$E$5*100,B722/$E$2&lt;$E$5),H722,NA()))</f>
        <v>#N/A</v>
      </c>
      <c r="K722" s="21" t="str">
        <f t="shared" si="108"/>
        <v/>
      </c>
    </row>
    <row r="723" spans="2:11" x14ac:dyDescent="0.25">
      <c r="B723" s="9" t="e">
        <f t="shared" si="109"/>
        <v>#N/A</v>
      </c>
      <c r="C723" s="10" t="e">
        <f t="shared" si="110"/>
        <v>#N/A</v>
      </c>
      <c r="D723" s="11" t="str">
        <f>IF(ISERROR(B723),"",bsolve($B723,$E$2,$E$4,$E$8,$E$9))</f>
        <v/>
      </c>
      <c r="E723" s="11" t="str">
        <f t="shared" si="111"/>
        <v/>
      </c>
      <c r="F723" s="11" t="str">
        <f t="shared" ref="F723:F786" si="114">IF(ISERROR(B723),"",IF(AND($E$7&gt;=$E$5,C723&lt;($E$5*100)),D723,0))</f>
        <v/>
      </c>
      <c r="G723" s="11" t="str">
        <f t="shared" ref="G723:G786" si="115">IF(ISERROR(B723),"",IF(C723&gt;=$E$5*100,D723,""))</f>
        <v/>
      </c>
      <c r="H723" s="19" t="str">
        <f t="shared" si="112"/>
        <v/>
      </c>
      <c r="I723" s="21">
        <f t="shared" ref="I723:I786" si="116">IF(NOT(ISERROR(J723)),B723,0)</f>
        <v>0</v>
      </c>
      <c r="J723" s="21" t="e">
        <f t="shared" si="113"/>
        <v>#N/A</v>
      </c>
      <c r="K723" s="21" t="str">
        <f t="shared" ref="K723:K786" si="117">IF(AND(I723=0,I724&gt;0),B723,"")</f>
        <v/>
      </c>
    </row>
    <row r="724" spans="2:11" x14ac:dyDescent="0.25">
      <c r="B724" s="9" t="e">
        <f t="shared" ref="B724:B787" si="118">IF(ROW()-18&lt;=$E$2,B723+1,NA())</f>
        <v>#N/A</v>
      </c>
      <c r="C724" s="10" t="e">
        <f t="shared" si="110"/>
        <v>#N/A</v>
      </c>
      <c r="D724" s="11" t="str">
        <f>IF(ISERROR(B724),"",bsolve($B724,$E$2,$E$4,$E$8,$E$9))</f>
        <v/>
      </c>
      <c r="E724" s="11" t="str">
        <f t="shared" si="111"/>
        <v/>
      </c>
      <c r="F724" s="11" t="str">
        <f t="shared" si="114"/>
        <v/>
      </c>
      <c r="G724" s="11" t="str">
        <f t="shared" si="115"/>
        <v/>
      </c>
      <c r="H724" s="19" t="str">
        <f t="shared" si="112"/>
        <v/>
      </c>
      <c r="I724" s="21">
        <f t="shared" si="116"/>
        <v>0</v>
      </c>
      <c r="J724" s="21" t="e">
        <f t="shared" si="113"/>
        <v>#N/A</v>
      </c>
      <c r="K724" s="21" t="str">
        <f t="shared" si="117"/>
        <v/>
      </c>
    </row>
    <row r="725" spans="2:11" x14ac:dyDescent="0.25">
      <c r="B725" s="9" t="e">
        <f t="shared" si="118"/>
        <v>#N/A</v>
      </c>
      <c r="C725" s="10" t="e">
        <f t="shared" si="110"/>
        <v>#N/A</v>
      </c>
      <c r="D725" s="11" t="str">
        <f>IF(ISERROR(B725),"",bsolve($B725,$E$2,$E$4,$E$8,$E$9))</f>
        <v/>
      </c>
      <c r="E725" s="11" t="str">
        <f t="shared" si="111"/>
        <v/>
      </c>
      <c r="F725" s="11" t="str">
        <f t="shared" si="114"/>
        <v/>
      </c>
      <c r="G725" s="11" t="str">
        <f t="shared" si="115"/>
        <v/>
      </c>
      <c r="H725" s="19" t="str">
        <f t="shared" si="112"/>
        <v/>
      </c>
      <c r="I725" s="21">
        <f t="shared" si="116"/>
        <v>0</v>
      </c>
      <c r="J725" s="21" t="e">
        <f t="shared" si="113"/>
        <v>#N/A</v>
      </c>
      <c r="K725" s="21" t="str">
        <f t="shared" si="117"/>
        <v/>
      </c>
    </row>
    <row r="726" spans="2:11" x14ac:dyDescent="0.25">
      <c r="B726" s="9" t="e">
        <f t="shared" si="118"/>
        <v>#N/A</v>
      </c>
      <c r="C726" s="10" t="e">
        <f t="shared" si="110"/>
        <v>#N/A</v>
      </c>
      <c r="D726" s="11" t="str">
        <f>IF(ISERROR(B726),"",bsolve($B726,$E$2,$E$4,$E$8,$E$9))</f>
        <v/>
      </c>
      <c r="E726" s="11" t="str">
        <f t="shared" si="111"/>
        <v/>
      </c>
      <c r="F726" s="11" t="str">
        <f t="shared" si="114"/>
        <v/>
      </c>
      <c r="G726" s="11" t="str">
        <f t="shared" si="115"/>
        <v/>
      </c>
      <c r="H726" s="19" t="str">
        <f t="shared" si="112"/>
        <v/>
      </c>
      <c r="I726" s="21">
        <f t="shared" si="116"/>
        <v>0</v>
      </c>
      <c r="J726" s="21" t="e">
        <f t="shared" si="113"/>
        <v>#N/A</v>
      </c>
      <c r="K726" s="21" t="str">
        <f t="shared" si="117"/>
        <v/>
      </c>
    </row>
    <row r="727" spans="2:11" x14ac:dyDescent="0.25">
      <c r="B727" s="9" t="e">
        <f t="shared" si="118"/>
        <v>#N/A</v>
      </c>
      <c r="C727" s="10" t="e">
        <f t="shared" si="110"/>
        <v>#N/A</v>
      </c>
      <c r="D727" s="11" t="str">
        <f>IF(ISERROR(B727),"",bsolve($B727,$E$2,$E$4,$E$8,$E$9))</f>
        <v/>
      </c>
      <c r="E727" s="11" t="str">
        <f t="shared" si="111"/>
        <v/>
      </c>
      <c r="F727" s="11" t="str">
        <f t="shared" si="114"/>
        <v/>
      </c>
      <c r="G727" s="11" t="str">
        <f t="shared" si="115"/>
        <v/>
      </c>
      <c r="H727" s="19" t="str">
        <f t="shared" si="112"/>
        <v/>
      </c>
      <c r="I727" s="21">
        <f t="shared" si="116"/>
        <v>0</v>
      </c>
      <c r="J727" s="21" t="e">
        <f t="shared" si="113"/>
        <v>#N/A</v>
      </c>
      <c r="K727" s="21" t="str">
        <f t="shared" si="117"/>
        <v/>
      </c>
    </row>
    <row r="728" spans="2:11" x14ac:dyDescent="0.25">
      <c r="B728" s="9" t="e">
        <f t="shared" si="118"/>
        <v>#N/A</v>
      </c>
      <c r="C728" s="10" t="e">
        <f t="shared" si="110"/>
        <v>#N/A</v>
      </c>
      <c r="D728" s="11" t="str">
        <f>IF(ISERROR(B728),"",bsolve($B728,$E$2,$E$4,$E$8,$E$9))</f>
        <v/>
      </c>
      <c r="E728" s="11" t="str">
        <f t="shared" si="111"/>
        <v/>
      </c>
      <c r="F728" s="11" t="str">
        <f t="shared" si="114"/>
        <v/>
      </c>
      <c r="G728" s="11" t="str">
        <f t="shared" si="115"/>
        <v/>
      </c>
      <c r="H728" s="19" t="str">
        <f t="shared" si="112"/>
        <v/>
      </c>
      <c r="I728" s="21">
        <f t="shared" si="116"/>
        <v>0</v>
      </c>
      <c r="J728" s="21" t="e">
        <f t="shared" si="113"/>
        <v>#N/A</v>
      </c>
      <c r="K728" s="21" t="str">
        <f t="shared" si="117"/>
        <v/>
      </c>
    </row>
    <row r="729" spans="2:11" x14ac:dyDescent="0.25">
      <c r="B729" s="9" t="e">
        <f t="shared" si="118"/>
        <v>#N/A</v>
      </c>
      <c r="C729" s="10" t="e">
        <f t="shared" si="110"/>
        <v>#N/A</v>
      </c>
      <c r="D729" s="11" t="str">
        <f>IF(ISERROR(B729),"",bsolve($B729,$E$2,$E$4,$E$8,$E$9))</f>
        <v/>
      </c>
      <c r="E729" s="11" t="str">
        <f t="shared" si="111"/>
        <v/>
      </c>
      <c r="F729" s="11" t="str">
        <f t="shared" si="114"/>
        <v/>
      </c>
      <c r="G729" s="11" t="str">
        <f t="shared" si="115"/>
        <v/>
      </c>
      <c r="H729" s="19" t="str">
        <f t="shared" si="112"/>
        <v/>
      </c>
      <c r="I729" s="21">
        <f t="shared" si="116"/>
        <v>0</v>
      </c>
      <c r="J729" s="21" t="e">
        <f t="shared" si="113"/>
        <v>#N/A</v>
      </c>
      <c r="K729" s="21" t="str">
        <f t="shared" si="117"/>
        <v/>
      </c>
    </row>
    <row r="730" spans="2:11" x14ac:dyDescent="0.25">
      <c r="B730" s="9" t="e">
        <f t="shared" si="118"/>
        <v>#N/A</v>
      </c>
      <c r="C730" s="10" t="e">
        <f t="shared" si="110"/>
        <v>#N/A</v>
      </c>
      <c r="D730" s="11" t="str">
        <f>IF(ISERROR(B730),"",bsolve($B730,$E$2,$E$4,$E$8,$E$9))</f>
        <v/>
      </c>
      <c r="E730" s="11" t="str">
        <f t="shared" si="111"/>
        <v/>
      </c>
      <c r="F730" s="11" t="str">
        <f t="shared" si="114"/>
        <v/>
      </c>
      <c r="G730" s="11" t="str">
        <f t="shared" si="115"/>
        <v/>
      </c>
      <c r="H730" s="19" t="str">
        <f t="shared" si="112"/>
        <v/>
      </c>
      <c r="I730" s="21">
        <f t="shared" si="116"/>
        <v>0</v>
      </c>
      <c r="J730" s="21" t="e">
        <f t="shared" si="113"/>
        <v>#N/A</v>
      </c>
      <c r="K730" s="21" t="str">
        <f t="shared" si="117"/>
        <v/>
      </c>
    </row>
    <row r="731" spans="2:11" x14ac:dyDescent="0.25">
      <c r="B731" s="9" t="e">
        <f t="shared" si="118"/>
        <v>#N/A</v>
      </c>
      <c r="C731" s="10" t="e">
        <f t="shared" si="110"/>
        <v>#N/A</v>
      </c>
      <c r="D731" s="11" t="str">
        <f>IF(ISERROR(B731),"",bsolve($B731,$E$2,$E$4,$E$8,$E$9))</f>
        <v/>
      </c>
      <c r="E731" s="11" t="str">
        <f t="shared" si="111"/>
        <v/>
      </c>
      <c r="F731" s="11" t="str">
        <f t="shared" si="114"/>
        <v/>
      </c>
      <c r="G731" s="11" t="str">
        <f t="shared" si="115"/>
        <v/>
      </c>
      <c r="H731" s="19" t="str">
        <f t="shared" si="112"/>
        <v/>
      </c>
      <c r="I731" s="21">
        <f t="shared" si="116"/>
        <v>0</v>
      </c>
      <c r="J731" s="21" t="e">
        <f t="shared" si="113"/>
        <v>#N/A</v>
      </c>
      <c r="K731" s="21" t="str">
        <f t="shared" si="117"/>
        <v/>
      </c>
    </row>
    <row r="732" spans="2:11" x14ac:dyDescent="0.25">
      <c r="B732" s="9" t="e">
        <f t="shared" si="118"/>
        <v>#N/A</v>
      </c>
      <c r="C732" s="10" t="e">
        <f t="shared" si="110"/>
        <v>#N/A</v>
      </c>
      <c r="D732" s="11" t="str">
        <f>IF(ISERROR(B732),"",bsolve($B732,$E$2,$E$4,$E$8,$E$9))</f>
        <v/>
      </c>
      <c r="E732" s="11" t="str">
        <f t="shared" si="111"/>
        <v/>
      </c>
      <c r="F732" s="11" t="str">
        <f t="shared" si="114"/>
        <v/>
      </c>
      <c r="G732" s="11" t="str">
        <f t="shared" si="115"/>
        <v/>
      </c>
      <c r="H732" s="19" t="str">
        <f t="shared" si="112"/>
        <v/>
      </c>
      <c r="I732" s="21">
        <f t="shared" si="116"/>
        <v>0</v>
      </c>
      <c r="J732" s="21" t="e">
        <f t="shared" si="113"/>
        <v>#N/A</v>
      </c>
      <c r="K732" s="21" t="str">
        <f t="shared" si="117"/>
        <v/>
      </c>
    </row>
    <row r="733" spans="2:11" x14ac:dyDescent="0.25">
      <c r="B733" s="9" t="e">
        <f t="shared" si="118"/>
        <v>#N/A</v>
      </c>
      <c r="C733" s="10" t="e">
        <f t="shared" si="110"/>
        <v>#N/A</v>
      </c>
      <c r="D733" s="11" t="str">
        <f>IF(ISERROR(B733),"",bsolve($B733,$E$2,$E$4,$E$8,$E$9))</f>
        <v/>
      </c>
      <c r="E733" s="11" t="str">
        <f t="shared" si="111"/>
        <v/>
      </c>
      <c r="F733" s="11" t="str">
        <f t="shared" si="114"/>
        <v/>
      </c>
      <c r="G733" s="11" t="str">
        <f t="shared" si="115"/>
        <v/>
      </c>
      <c r="H733" s="19" t="str">
        <f t="shared" si="112"/>
        <v/>
      </c>
      <c r="I733" s="21">
        <f t="shared" si="116"/>
        <v>0</v>
      </c>
      <c r="J733" s="21" t="e">
        <f t="shared" si="113"/>
        <v>#N/A</v>
      </c>
      <c r="K733" s="21" t="str">
        <f t="shared" si="117"/>
        <v/>
      </c>
    </row>
    <row r="734" spans="2:11" x14ac:dyDescent="0.25">
      <c r="B734" s="9" t="e">
        <f t="shared" si="118"/>
        <v>#N/A</v>
      </c>
      <c r="C734" s="10" t="e">
        <f t="shared" si="110"/>
        <v>#N/A</v>
      </c>
      <c r="D734" s="11" t="str">
        <f>IF(ISERROR(B734),"",bsolve($B734,$E$2,$E$4,$E$8,$E$9))</f>
        <v/>
      </c>
      <c r="E734" s="11" t="str">
        <f t="shared" si="111"/>
        <v/>
      </c>
      <c r="F734" s="11" t="str">
        <f t="shared" si="114"/>
        <v/>
      </c>
      <c r="G734" s="11" t="str">
        <f t="shared" si="115"/>
        <v/>
      </c>
      <c r="H734" s="19" t="str">
        <f t="shared" si="112"/>
        <v/>
      </c>
      <c r="I734" s="21">
        <f t="shared" si="116"/>
        <v>0</v>
      </c>
      <c r="J734" s="21" t="e">
        <f t="shared" si="113"/>
        <v>#N/A</v>
      </c>
      <c r="K734" s="21" t="str">
        <f t="shared" si="117"/>
        <v/>
      </c>
    </row>
    <row r="735" spans="2:11" x14ac:dyDescent="0.25">
      <c r="B735" s="9" t="e">
        <f t="shared" si="118"/>
        <v>#N/A</v>
      </c>
      <c r="C735" s="10" t="e">
        <f t="shared" si="110"/>
        <v>#N/A</v>
      </c>
      <c r="D735" s="11" t="str">
        <f>IF(ISERROR(B735),"",bsolve($B735,$E$2,$E$4,$E$8,$E$9))</f>
        <v/>
      </c>
      <c r="E735" s="11" t="str">
        <f t="shared" si="111"/>
        <v/>
      </c>
      <c r="F735" s="11" t="str">
        <f t="shared" si="114"/>
        <v/>
      </c>
      <c r="G735" s="11" t="str">
        <f t="shared" si="115"/>
        <v/>
      </c>
      <c r="H735" s="19" t="str">
        <f t="shared" si="112"/>
        <v/>
      </c>
      <c r="I735" s="21">
        <f t="shared" si="116"/>
        <v>0</v>
      </c>
      <c r="J735" s="21" t="e">
        <f t="shared" si="113"/>
        <v>#N/A</v>
      </c>
      <c r="K735" s="21" t="str">
        <f t="shared" si="117"/>
        <v/>
      </c>
    </row>
    <row r="736" spans="2:11" x14ac:dyDescent="0.25">
      <c r="B736" s="9" t="e">
        <f t="shared" si="118"/>
        <v>#N/A</v>
      </c>
      <c r="C736" s="10" t="e">
        <f t="shared" si="110"/>
        <v>#N/A</v>
      </c>
      <c r="D736" s="11" t="str">
        <f>IF(ISERROR(B736),"",bsolve($B736,$E$2,$E$4,$E$8,$E$9))</f>
        <v/>
      </c>
      <c r="E736" s="11" t="str">
        <f t="shared" si="111"/>
        <v/>
      </c>
      <c r="F736" s="11" t="str">
        <f t="shared" si="114"/>
        <v/>
      </c>
      <c r="G736" s="11" t="str">
        <f t="shared" si="115"/>
        <v/>
      </c>
      <c r="H736" s="19" t="str">
        <f t="shared" si="112"/>
        <v/>
      </c>
      <c r="I736" s="21">
        <f t="shared" si="116"/>
        <v>0</v>
      </c>
      <c r="J736" s="21" t="e">
        <f t="shared" si="113"/>
        <v>#N/A</v>
      </c>
      <c r="K736" s="21" t="str">
        <f t="shared" si="117"/>
        <v/>
      </c>
    </row>
    <row r="737" spans="2:11" x14ac:dyDescent="0.25">
      <c r="B737" s="9" t="e">
        <f t="shared" si="118"/>
        <v>#N/A</v>
      </c>
      <c r="C737" s="10" t="e">
        <f t="shared" si="110"/>
        <v>#N/A</v>
      </c>
      <c r="D737" s="11" t="str">
        <f>IF(ISERROR(B737),"",bsolve($B737,$E$2,$E$4,$E$8,$E$9))</f>
        <v/>
      </c>
      <c r="E737" s="11" t="str">
        <f t="shared" si="111"/>
        <v/>
      </c>
      <c r="F737" s="11" t="str">
        <f t="shared" si="114"/>
        <v/>
      </c>
      <c r="G737" s="11" t="str">
        <f t="shared" si="115"/>
        <v/>
      </c>
      <c r="H737" s="19" t="str">
        <f t="shared" si="112"/>
        <v/>
      </c>
      <c r="I737" s="21">
        <f t="shared" si="116"/>
        <v>0</v>
      </c>
      <c r="J737" s="21" t="e">
        <f t="shared" si="113"/>
        <v>#N/A</v>
      </c>
      <c r="K737" s="21" t="str">
        <f t="shared" si="117"/>
        <v/>
      </c>
    </row>
    <row r="738" spans="2:11" x14ac:dyDescent="0.25">
      <c r="B738" s="9" t="e">
        <f t="shared" si="118"/>
        <v>#N/A</v>
      </c>
      <c r="C738" s="10" t="e">
        <f t="shared" si="110"/>
        <v>#N/A</v>
      </c>
      <c r="D738" s="11" t="str">
        <f>IF(ISERROR(B738),"",bsolve($B738,$E$2,$E$4,$E$8,$E$9))</f>
        <v/>
      </c>
      <c r="E738" s="11" t="str">
        <f t="shared" si="111"/>
        <v/>
      </c>
      <c r="F738" s="11" t="str">
        <f t="shared" si="114"/>
        <v/>
      </c>
      <c r="G738" s="11" t="str">
        <f t="shared" si="115"/>
        <v/>
      </c>
      <c r="H738" s="19" t="str">
        <f t="shared" si="112"/>
        <v/>
      </c>
      <c r="I738" s="21">
        <f t="shared" si="116"/>
        <v>0</v>
      </c>
      <c r="J738" s="21" t="e">
        <f t="shared" si="113"/>
        <v>#N/A</v>
      </c>
      <c r="K738" s="21" t="str">
        <f t="shared" si="117"/>
        <v/>
      </c>
    </row>
    <row r="739" spans="2:11" x14ac:dyDescent="0.25">
      <c r="B739" s="9" t="e">
        <f t="shared" si="118"/>
        <v>#N/A</v>
      </c>
      <c r="C739" s="10" t="e">
        <f t="shared" si="110"/>
        <v>#N/A</v>
      </c>
      <c r="D739" s="11" t="str">
        <f>IF(ISERROR(B739),"",bsolve($B739,$E$2,$E$4,$E$8,$E$9))</f>
        <v/>
      </c>
      <c r="E739" s="11" t="str">
        <f t="shared" si="111"/>
        <v/>
      </c>
      <c r="F739" s="11" t="str">
        <f t="shared" si="114"/>
        <v/>
      </c>
      <c r="G739" s="11" t="str">
        <f t="shared" si="115"/>
        <v/>
      </c>
      <c r="H739" s="19" t="str">
        <f t="shared" si="112"/>
        <v/>
      </c>
      <c r="I739" s="21">
        <f t="shared" si="116"/>
        <v>0</v>
      </c>
      <c r="J739" s="21" t="e">
        <f t="shared" si="113"/>
        <v>#N/A</v>
      </c>
      <c r="K739" s="21" t="str">
        <f t="shared" si="117"/>
        <v/>
      </c>
    </row>
    <row r="740" spans="2:11" x14ac:dyDescent="0.25">
      <c r="B740" s="9" t="e">
        <f t="shared" si="118"/>
        <v>#N/A</v>
      </c>
      <c r="C740" s="10" t="e">
        <f t="shared" si="110"/>
        <v>#N/A</v>
      </c>
      <c r="D740" s="11" t="str">
        <f>IF(ISERROR(B740),"",bsolve($B740,$E$2,$E$4,$E$8,$E$9))</f>
        <v/>
      </c>
      <c r="E740" s="11" t="str">
        <f t="shared" si="111"/>
        <v/>
      </c>
      <c r="F740" s="11" t="str">
        <f t="shared" si="114"/>
        <v/>
      </c>
      <c r="G740" s="11" t="str">
        <f t="shared" si="115"/>
        <v/>
      </c>
      <c r="H740" s="19" t="str">
        <f t="shared" si="112"/>
        <v/>
      </c>
      <c r="I740" s="21">
        <f t="shared" si="116"/>
        <v>0</v>
      </c>
      <c r="J740" s="21" t="e">
        <f t="shared" si="113"/>
        <v>#N/A</v>
      </c>
      <c r="K740" s="21" t="str">
        <f t="shared" si="117"/>
        <v/>
      </c>
    </row>
    <row r="741" spans="2:11" x14ac:dyDescent="0.25">
      <c r="B741" s="9" t="e">
        <f t="shared" si="118"/>
        <v>#N/A</v>
      </c>
      <c r="C741" s="10" t="e">
        <f t="shared" si="110"/>
        <v>#N/A</v>
      </c>
      <c r="D741" s="11" t="str">
        <f>IF(ISERROR(B741),"",bsolve($B741,$E$2,$E$4,$E$8,$E$9))</f>
        <v/>
      </c>
      <c r="E741" s="11" t="str">
        <f t="shared" si="111"/>
        <v/>
      </c>
      <c r="F741" s="11" t="str">
        <f t="shared" si="114"/>
        <v/>
      </c>
      <c r="G741" s="11" t="str">
        <f t="shared" si="115"/>
        <v/>
      </c>
      <c r="H741" s="19" t="str">
        <f t="shared" si="112"/>
        <v/>
      </c>
      <c r="I741" s="21">
        <f t="shared" si="116"/>
        <v>0</v>
      </c>
      <c r="J741" s="21" t="e">
        <f t="shared" si="113"/>
        <v>#N/A</v>
      </c>
      <c r="K741" s="21" t="str">
        <f t="shared" si="117"/>
        <v/>
      </c>
    </row>
    <row r="742" spans="2:11" x14ac:dyDescent="0.25">
      <c r="B742" s="9" t="e">
        <f t="shared" si="118"/>
        <v>#N/A</v>
      </c>
      <c r="C742" s="10" t="e">
        <f t="shared" si="110"/>
        <v>#N/A</v>
      </c>
      <c r="D742" s="11" t="str">
        <f>IF(ISERROR(B742),"",bsolve($B742,$E$2,$E$4,$E$8,$E$9))</f>
        <v/>
      </c>
      <c r="E742" s="11" t="str">
        <f t="shared" si="111"/>
        <v/>
      </c>
      <c r="F742" s="11" t="str">
        <f t="shared" si="114"/>
        <v/>
      </c>
      <c r="G742" s="11" t="str">
        <f t="shared" si="115"/>
        <v/>
      </c>
      <c r="H742" s="19" t="str">
        <f t="shared" si="112"/>
        <v/>
      </c>
      <c r="I742" s="21">
        <f t="shared" si="116"/>
        <v>0</v>
      </c>
      <c r="J742" s="21" t="e">
        <f t="shared" si="113"/>
        <v>#N/A</v>
      </c>
      <c r="K742" s="21" t="str">
        <f t="shared" si="117"/>
        <v/>
      </c>
    </row>
    <row r="743" spans="2:11" x14ac:dyDescent="0.25">
      <c r="B743" s="9" t="e">
        <f t="shared" si="118"/>
        <v>#N/A</v>
      </c>
      <c r="C743" s="10" t="e">
        <f t="shared" si="110"/>
        <v>#N/A</v>
      </c>
      <c r="D743" s="11" t="str">
        <f>IF(ISERROR(B743),"",bsolve($B743,$E$2,$E$4,$E$8,$E$9))</f>
        <v/>
      </c>
      <c r="E743" s="11" t="str">
        <f t="shared" si="111"/>
        <v/>
      </c>
      <c r="F743" s="11" t="str">
        <f t="shared" si="114"/>
        <v/>
      </c>
      <c r="G743" s="11" t="str">
        <f t="shared" si="115"/>
        <v/>
      </c>
      <c r="H743" s="19" t="str">
        <f t="shared" si="112"/>
        <v/>
      </c>
      <c r="I743" s="21">
        <f t="shared" si="116"/>
        <v>0</v>
      </c>
      <c r="J743" s="21" t="e">
        <f t="shared" si="113"/>
        <v>#N/A</v>
      </c>
      <c r="K743" s="21" t="str">
        <f t="shared" si="117"/>
        <v/>
      </c>
    </row>
    <row r="744" spans="2:11" x14ac:dyDescent="0.25">
      <c r="B744" s="9" t="e">
        <f t="shared" si="118"/>
        <v>#N/A</v>
      </c>
      <c r="C744" s="10" t="e">
        <f t="shared" si="110"/>
        <v>#N/A</v>
      </c>
      <c r="D744" s="11" t="str">
        <f>IF(ISERROR(B744),"",bsolve($B744,$E$2,$E$4,$E$8,$E$9))</f>
        <v/>
      </c>
      <c r="E744" s="11" t="str">
        <f t="shared" si="111"/>
        <v/>
      </c>
      <c r="F744" s="11" t="str">
        <f t="shared" si="114"/>
        <v/>
      </c>
      <c r="G744" s="11" t="str">
        <f t="shared" si="115"/>
        <v/>
      </c>
      <c r="H744" s="19" t="str">
        <f t="shared" si="112"/>
        <v/>
      </c>
      <c r="I744" s="21">
        <f t="shared" si="116"/>
        <v>0</v>
      </c>
      <c r="J744" s="21" t="e">
        <f t="shared" si="113"/>
        <v>#N/A</v>
      </c>
      <c r="K744" s="21" t="str">
        <f t="shared" si="117"/>
        <v/>
      </c>
    </row>
    <row r="745" spans="2:11" x14ac:dyDescent="0.25">
      <c r="B745" s="9" t="e">
        <f t="shared" si="118"/>
        <v>#N/A</v>
      </c>
      <c r="C745" s="10" t="e">
        <f t="shared" si="110"/>
        <v>#N/A</v>
      </c>
      <c r="D745" s="11" t="str">
        <f>IF(ISERROR(B745),"",bsolve($B745,$E$2,$E$4,$E$8,$E$9))</f>
        <v/>
      </c>
      <c r="E745" s="11" t="str">
        <f t="shared" si="111"/>
        <v/>
      </c>
      <c r="F745" s="11" t="str">
        <f t="shared" si="114"/>
        <v/>
      </c>
      <c r="G745" s="11" t="str">
        <f t="shared" si="115"/>
        <v/>
      </c>
      <c r="H745" s="19" t="str">
        <f t="shared" si="112"/>
        <v/>
      </c>
      <c r="I745" s="21">
        <f t="shared" si="116"/>
        <v>0</v>
      </c>
      <c r="J745" s="21" t="e">
        <f t="shared" si="113"/>
        <v>#N/A</v>
      </c>
      <c r="K745" s="21" t="str">
        <f t="shared" si="117"/>
        <v/>
      </c>
    </row>
    <row r="746" spans="2:11" x14ac:dyDescent="0.25">
      <c r="B746" s="9" t="e">
        <f t="shared" si="118"/>
        <v>#N/A</v>
      </c>
      <c r="C746" s="10" t="e">
        <f t="shared" si="110"/>
        <v>#N/A</v>
      </c>
      <c r="D746" s="11" t="str">
        <f>IF(ISERROR(B746),"",bsolve($B746,$E$2,$E$4,$E$8,$E$9))</f>
        <v/>
      </c>
      <c r="E746" s="11" t="str">
        <f t="shared" si="111"/>
        <v/>
      </c>
      <c r="F746" s="11" t="str">
        <f t="shared" si="114"/>
        <v/>
      </c>
      <c r="G746" s="11" t="str">
        <f t="shared" si="115"/>
        <v/>
      </c>
      <c r="H746" s="19" t="str">
        <f t="shared" si="112"/>
        <v/>
      </c>
      <c r="I746" s="21">
        <f t="shared" si="116"/>
        <v>0</v>
      </c>
      <c r="J746" s="21" t="e">
        <f t="shared" si="113"/>
        <v>#N/A</v>
      </c>
      <c r="K746" s="21" t="str">
        <f t="shared" si="117"/>
        <v/>
      </c>
    </row>
    <row r="747" spans="2:11" x14ac:dyDescent="0.25">
      <c r="B747" s="9" t="e">
        <f t="shared" si="118"/>
        <v>#N/A</v>
      </c>
      <c r="C747" s="10" t="e">
        <f t="shared" si="110"/>
        <v>#N/A</v>
      </c>
      <c r="D747" s="11" t="str">
        <f>IF(ISERROR(B747),"",bsolve($B747,$E$2,$E$4,$E$8,$E$9))</f>
        <v/>
      </c>
      <c r="E747" s="11" t="str">
        <f t="shared" si="111"/>
        <v/>
      </c>
      <c r="F747" s="11" t="str">
        <f t="shared" si="114"/>
        <v/>
      </c>
      <c r="G747" s="11" t="str">
        <f t="shared" si="115"/>
        <v/>
      </c>
      <c r="H747" s="19" t="str">
        <f t="shared" si="112"/>
        <v/>
      </c>
      <c r="I747" s="21">
        <f t="shared" si="116"/>
        <v>0</v>
      </c>
      <c r="J747" s="21" t="e">
        <f t="shared" si="113"/>
        <v>#N/A</v>
      </c>
      <c r="K747" s="21" t="str">
        <f t="shared" si="117"/>
        <v/>
      </c>
    </row>
    <row r="748" spans="2:11" x14ac:dyDescent="0.25">
      <c r="B748" s="9" t="e">
        <f t="shared" si="118"/>
        <v>#N/A</v>
      </c>
      <c r="C748" s="10" t="e">
        <f t="shared" si="110"/>
        <v>#N/A</v>
      </c>
      <c r="D748" s="11" t="str">
        <f>IF(ISERROR(B748),"",bsolve($B748,$E$2,$E$4,$E$8,$E$9))</f>
        <v/>
      </c>
      <c r="E748" s="11" t="str">
        <f t="shared" si="111"/>
        <v/>
      </c>
      <c r="F748" s="11" t="str">
        <f t="shared" si="114"/>
        <v/>
      </c>
      <c r="G748" s="11" t="str">
        <f t="shared" si="115"/>
        <v/>
      </c>
      <c r="H748" s="19" t="str">
        <f t="shared" si="112"/>
        <v/>
      </c>
      <c r="I748" s="21">
        <f t="shared" si="116"/>
        <v>0</v>
      </c>
      <c r="J748" s="21" t="e">
        <f t="shared" si="113"/>
        <v>#N/A</v>
      </c>
      <c r="K748" s="21" t="str">
        <f t="shared" si="117"/>
        <v/>
      </c>
    </row>
    <row r="749" spans="2:11" x14ac:dyDescent="0.25">
      <c r="B749" s="9" t="e">
        <f t="shared" si="118"/>
        <v>#N/A</v>
      </c>
      <c r="C749" s="10" t="e">
        <f t="shared" si="110"/>
        <v>#N/A</v>
      </c>
      <c r="D749" s="11" t="str">
        <f>IF(ISERROR(B749),"",bsolve($B749,$E$2,$E$4,$E$8,$E$9))</f>
        <v/>
      </c>
      <c r="E749" s="11" t="str">
        <f t="shared" si="111"/>
        <v/>
      </c>
      <c r="F749" s="11" t="str">
        <f t="shared" si="114"/>
        <v/>
      </c>
      <c r="G749" s="11" t="str">
        <f t="shared" si="115"/>
        <v/>
      </c>
      <c r="H749" s="19" t="str">
        <f t="shared" si="112"/>
        <v/>
      </c>
      <c r="I749" s="21">
        <f t="shared" si="116"/>
        <v>0</v>
      </c>
      <c r="J749" s="21" t="e">
        <f t="shared" si="113"/>
        <v>#N/A</v>
      </c>
      <c r="K749" s="21" t="str">
        <f t="shared" si="117"/>
        <v/>
      </c>
    </row>
    <row r="750" spans="2:11" x14ac:dyDescent="0.25">
      <c r="B750" s="9" t="e">
        <f t="shared" si="118"/>
        <v>#N/A</v>
      </c>
      <c r="C750" s="10" t="e">
        <f t="shared" si="110"/>
        <v>#N/A</v>
      </c>
      <c r="D750" s="11" t="str">
        <f>IF(ISERROR(B750),"",bsolve($B750,$E$2,$E$4,$E$8,$E$9))</f>
        <v/>
      </c>
      <c r="E750" s="11" t="str">
        <f t="shared" si="111"/>
        <v/>
      </c>
      <c r="F750" s="11" t="str">
        <f t="shared" si="114"/>
        <v/>
      </c>
      <c r="G750" s="11" t="str">
        <f t="shared" si="115"/>
        <v/>
      </c>
      <c r="H750" s="19" t="str">
        <f t="shared" si="112"/>
        <v/>
      </c>
      <c r="I750" s="21">
        <f t="shared" si="116"/>
        <v>0</v>
      </c>
      <c r="J750" s="21" t="e">
        <f t="shared" si="113"/>
        <v>#N/A</v>
      </c>
      <c r="K750" s="21" t="str">
        <f t="shared" si="117"/>
        <v/>
      </c>
    </row>
    <row r="751" spans="2:11" x14ac:dyDescent="0.25">
      <c r="B751" s="9" t="e">
        <f t="shared" si="118"/>
        <v>#N/A</v>
      </c>
      <c r="C751" s="10" t="e">
        <f t="shared" si="110"/>
        <v>#N/A</v>
      </c>
      <c r="D751" s="11" t="str">
        <f>IF(ISERROR(B751),"",bsolve($B751,$E$2,$E$4,$E$8,$E$9))</f>
        <v/>
      </c>
      <c r="E751" s="11" t="str">
        <f t="shared" si="111"/>
        <v/>
      </c>
      <c r="F751" s="11" t="str">
        <f t="shared" si="114"/>
        <v/>
      </c>
      <c r="G751" s="11" t="str">
        <f t="shared" si="115"/>
        <v/>
      </c>
      <c r="H751" s="19" t="str">
        <f t="shared" si="112"/>
        <v/>
      </c>
      <c r="I751" s="21">
        <f t="shared" si="116"/>
        <v>0</v>
      </c>
      <c r="J751" s="21" t="e">
        <f t="shared" si="113"/>
        <v>#N/A</v>
      </c>
      <c r="K751" s="21" t="str">
        <f t="shared" si="117"/>
        <v/>
      </c>
    </row>
    <row r="752" spans="2:11" x14ac:dyDescent="0.25">
      <c r="B752" s="9" t="e">
        <f t="shared" si="118"/>
        <v>#N/A</v>
      </c>
      <c r="C752" s="10" t="e">
        <f t="shared" si="110"/>
        <v>#N/A</v>
      </c>
      <c r="D752" s="11" t="str">
        <f>IF(ISERROR(B752),"",bsolve($B752,$E$2,$E$4,$E$8,$E$9))</f>
        <v/>
      </c>
      <c r="E752" s="11" t="str">
        <f t="shared" si="111"/>
        <v/>
      </c>
      <c r="F752" s="11" t="str">
        <f t="shared" si="114"/>
        <v/>
      </c>
      <c r="G752" s="11" t="str">
        <f t="shared" si="115"/>
        <v/>
      </c>
      <c r="H752" s="19" t="str">
        <f t="shared" si="112"/>
        <v/>
      </c>
      <c r="I752" s="21">
        <f t="shared" si="116"/>
        <v>0</v>
      </c>
      <c r="J752" s="21" t="e">
        <f t="shared" si="113"/>
        <v>#N/A</v>
      </c>
      <c r="K752" s="21" t="str">
        <f t="shared" si="117"/>
        <v/>
      </c>
    </row>
    <row r="753" spans="2:11" x14ac:dyDescent="0.25">
      <c r="B753" s="9" t="e">
        <f t="shared" si="118"/>
        <v>#N/A</v>
      </c>
      <c r="C753" s="10" t="e">
        <f t="shared" si="110"/>
        <v>#N/A</v>
      </c>
      <c r="D753" s="11" t="str">
        <f>IF(ISERROR(B753),"",bsolve($B753,$E$2,$E$4,$E$8,$E$9))</f>
        <v/>
      </c>
      <c r="E753" s="11" t="str">
        <f t="shared" si="111"/>
        <v/>
      </c>
      <c r="F753" s="11" t="str">
        <f t="shared" si="114"/>
        <v/>
      </c>
      <c r="G753" s="11" t="str">
        <f t="shared" si="115"/>
        <v/>
      </c>
      <c r="H753" s="19" t="str">
        <f t="shared" si="112"/>
        <v/>
      </c>
      <c r="I753" s="21">
        <f t="shared" si="116"/>
        <v>0</v>
      </c>
      <c r="J753" s="21" t="e">
        <f t="shared" si="113"/>
        <v>#N/A</v>
      </c>
      <c r="K753" s="21" t="str">
        <f t="shared" si="117"/>
        <v/>
      </c>
    </row>
    <row r="754" spans="2:11" x14ac:dyDescent="0.25">
      <c r="B754" s="9" t="e">
        <f t="shared" si="118"/>
        <v>#N/A</v>
      </c>
      <c r="C754" s="10" t="e">
        <f t="shared" si="110"/>
        <v>#N/A</v>
      </c>
      <c r="D754" s="11" t="str">
        <f>IF(ISERROR(B754),"",bsolve($B754,$E$2,$E$4,$E$8,$E$9))</f>
        <v/>
      </c>
      <c r="E754" s="11" t="str">
        <f t="shared" si="111"/>
        <v/>
      </c>
      <c r="F754" s="11" t="str">
        <f t="shared" si="114"/>
        <v/>
      </c>
      <c r="G754" s="11" t="str">
        <f t="shared" si="115"/>
        <v/>
      </c>
      <c r="H754" s="19" t="str">
        <f t="shared" si="112"/>
        <v/>
      </c>
      <c r="I754" s="21">
        <f t="shared" si="116"/>
        <v>0</v>
      </c>
      <c r="J754" s="21" t="e">
        <f t="shared" si="113"/>
        <v>#N/A</v>
      </c>
      <c r="K754" s="21" t="str">
        <f t="shared" si="117"/>
        <v/>
      </c>
    </row>
    <row r="755" spans="2:11" x14ac:dyDescent="0.25">
      <c r="B755" s="9" t="e">
        <f t="shared" si="118"/>
        <v>#N/A</v>
      </c>
      <c r="C755" s="10" t="e">
        <f t="shared" si="110"/>
        <v>#N/A</v>
      </c>
      <c r="D755" s="11" t="str">
        <f>IF(ISERROR(B755),"",bsolve($B755,$E$2,$E$4,$E$8,$E$9))</f>
        <v/>
      </c>
      <c r="E755" s="11" t="str">
        <f t="shared" si="111"/>
        <v/>
      </c>
      <c r="F755" s="11" t="str">
        <f t="shared" si="114"/>
        <v/>
      </c>
      <c r="G755" s="11" t="str">
        <f t="shared" si="115"/>
        <v/>
      </c>
      <c r="H755" s="19" t="str">
        <f t="shared" si="112"/>
        <v/>
      </c>
      <c r="I755" s="21">
        <f t="shared" si="116"/>
        <v>0</v>
      </c>
      <c r="J755" s="21" t="e">
        <f t="shared" si="113"/>
        <v>#N/A</v>
      </c>
      <c r="K755" s="21" t="str">
        <f t="shared" si="117"/>
        <v/>
      </c>
    </row>
    <row r="756" spans="2:11" x14ac:dyDescent="0.25">
      <c r="B756" s="9" t="e">
        <f t="shared" si="118"/>
        <v>#N/A</v>
      </c>
      <c r="C756" s="10" t="e">
        <f t="shared" si="110"/>
        <v>#N/A</v>
      </c>
      <c r="D756" s="11" t="str">
        <f>IF(ISERROR(B756),"",bsolve($B756,$E$2,$E$4,$E$8,$E$9))</f>
        <v/>
      </c>
      <c r="E756" s="11" t="str">
        <f t="shared" si="111"/>
        <v/>
      </c>
      <c r="F756" s="11" t="str">
        <f t="shared" si="114"/>
        <v/>
      </c>
      <c r="G756" s="11" t="str">
        <f t="shared" si="115"/>
        <v/>
      </c>
      <c r="H756" s="19" t="str">
        <f t="shared" si="112"/>
        <v/>
      </c>
      <c r="I756" s="21">
        <f t="shared" si="116"/>
        <v>0</v>
      </c>
      <c r="J756" s="21" t="e">
        <f t="shared" si="113"/>
        <v>#N/A</v>
      </c>
      <c r="K756" s="21" t="str">
        <f t="shared" si="117"/>
        <v/>
      </c>
    </row>
    <row r="757" spans="2:11" x14ac:dyDescent="0.25">
      <c r="B757" s="9" t="e">
        <f t="shared" si="118"/>
        <v>#N/A</v>
      </c>
      <c r="C757" s="10" t="e">
        <f t="shared" si="110"/>
        <v>#N/A</v>
      </c>
      <c r="D757" s="11" t="str">
        <f>IF(ISERROR(B757),"",bsolve($B757,$E$2,$E$4,$E$8,$E$9))</f>
        <v/>
      </c>
      <c r="E757" s="11" t="str">
        <f t="shared" si="111"/>
        <v/>
      </c>
      <c r="F757" s="11" t="str">
        <f t="shared" si="114"/>
        <v/>
      </c>
      <c r="G757" s="11" t="str">
        <f t="shared" si="115"/>
        <v/>
      </c>
      <c r="H757" s="19" t="str">
        <f t="shared" si="112"/>
        <v/>
      </c>
      <c r="I757" s="21">
        <f t="shared" si="116"/>
        <v>0</v>
      </c>
      <c r="J757" s="21" t="e">
        <f t="shared" si="113"/>
        <v>#N/A</v>
      </c>
      <c r="K757" s="21" t="str">
        <f t="shared" si="117"/>
        <v/>
      </c>
    </row>
    <row r="758" spans="2:11" x14ac:dyDescent="0.25">
      <c r="B758" s="9" t="e">
        <f t="shared" si="118"/>
        <v>#N/A</v>
      </c>
      <c r="C758" s="10" t="e">
        <f t="shared" si="110"/>
        <v>#N/A</v>
      </c>
      <c r="D758" s="11" t="str">
        <f>IF(ISERROR(B758),"",bsolve($B758,$E$2,$E$4,$E$8,$E$9))</f>
        <v/>
      </c>
      <c r="E758" s="11" t="str">
        <f t="shared" si="111"/>
        <v/>
      </c>
      <c r="F758" s="11" t="str">
        <f t="shared" si="114"/>
        <v/>
      </c>
      <c r="G758" s="11" t="str">
        <f t="shared" si="115"/>
        <v/>
      </c>
      <c r="H758" s="19" t="str">
        <f t="shared" si="112"/>
        <v/>
      </c>
      <c r="I758" s="21">
        <f t="shared" si="116"/>
        <v>0</v>
      </c>
      <c r="J758" s="21" t="e">
        <f t="shared" si="113"/>
        <v>#N/A</v>
      </c>
      <c r="K758" s="21" t="str">
        <f t="shared" si="117"/>
        <v/>
      </c>
    </row>
    <row r="759" spans="2:11" x14ac:dyDescent="0.25">
      <c r="B759" s="9" t="e">
        <f t="shared" si="118"/>
        <v>#N/A</v>
      </c>
      <c r="C759" s="10" t="e">
        <f t="shared" si="110"/>
        <v>#N/A</v>
      </c>
      <c r="D759" s="11" t="str">
        <f>IF(ISERROR(B759),"",bsolve($B759,$E$2,$E$4,$E$8,$E$9))</f>
        <v/>
      </c>
      <c r="E759" s="11" t="str">
        <f t="shared" si="111"/>
        <v/>
      </c>
      <c r="F759" s="11" t="str">
        <f t="shared" si="114"/>
        <v/>
      </c>
      <c r="G759" s="11" t="str">
        <f t="shared" si="115"/>
        <v/>
      </c>
      <c r="H759" s="19" t="str">
        <f t="shared" si="112"/>
        <v/>
      </c>
      <c r="I759" s="21">
        <f t="shared" si="116"/>
        <v>0</v>
      </c>
      <c r="J759" s="21" t="e">
        <f t="shared" si="113"/>
        <v>#N/A</v>
      </c>
      <c r="K759" s="21" t="str">
        <f t="shared" si="117"/>
        <v/>
      </c>
    </row>
    <row r="760" spans="2:11" x14ac:dyDescent="0.25">
      <c r="B760" s="9" t="e">
        <f t="shared" si="118"/>
        <v>#N/A</v>
      </c>
      <c r="C760" s="10" t="e">
        <f t="shared" si="110"/>
        <v>#N/A</v>
      </c>
      <c r="D760" s="11" t="str">
        <f>IF(ISERROR(B760),"",bsolve($B760,$E$2,$E$4,$E$8,$E$9))</f>
        <v/>
      </c>
      <c r="E760" s="11" t="str">
        <f t="shared" si="111"/>
        <v/>
      </c>
      <c r="F760" s="11" t="str">
        <f t="shared" si="114"/>
        <v/>
      </c>
      <c r="G760" s="11" t="str">
        <f t="shared" si="115"/>
        <v/>
      </c>
      <c r="H760" s="19" t="str">
        <f t="shared" si="112"/>
        <v/>
      </c>
      <c r="I760" s="21">
        <f t="shared" si="116"/>
        <v>0</v>
      </c>
      <c r="J760" s="21" t="e">
        <f t="shared" si="113"/>
        <v>#N/A</v>
      </c>
      <c r="K760" s="21" t="str">
        <f t="shared" si="117"/>
        <v/>
      </c>
    </row>
    <row r="761" spans="2:11" x14ac:dyDescent="0.25">
      <c r="B761" s="9" t="e">
        <f t="shared" si="118"/>
        <v>#N/A</v>
      </c>
      <c r="C761" s="10" t="e">
        <f t="shared" si="110"/>
        <v>#N/A</v>
      </c>
      <c r="D761" s="11" t="str">
        <f>IF(ISERROR(B761),"",bsolve($B761,$E$2,$E$4,$E$8,$E$9))</f>
        <v/>
      </c>
      <c r="E761" s="11" t="str">
        <f t="shared" si="111"/>
        <v/>
      </c>
      <c r="F761" s="11" t="str">
        <f t="shared" si="114"/>
        <v/>
      </c>
      <c r="G761" s="11" t="str">
        <f t="shared" si="115"/>
        <v/>
      </c>
      <c r="H761" s="19" t="str">
        <f t="shared" si="112"/>
        <v/>
      </c>
      <c r="I761" s="21">
        <f t="shared" si="116"/>
        <v>0</v>
      </c>
      <c r="J761" s="21" t="e">
        <f t="shared" si="113"/>
        <v>#N/A</v>
      </c>
      <c r="K761" s="21" t="str">
        <f t="shared" si="117"/>
        <v/>
      </c>
    </row>
    <row r="762" spans="2:11" x14ac:dyDescent="0.25">
      <c r="B762" s="9" t="e">
        <f t="shared" si="118"/>
        <v>#N/A</v>
      </c>
      <c r="C762" s="10" t="e">
        <f t="shared" si="110"/>
        <v>#N/A</v>
      </c>
      <c r="D762" s="11" t="str">
        <f>IF(ISERROR(B762),"",bsolve($B762,$E$2,$E$4,$E$8,$E$9))</f>
        <v/>
      </c>
      <c r="E762" s="11" t="str">
        <f t="shared" si="111"/>
        <v/>
      </c>
      <c r="F762" s="11" t="str">
        <f t="shared" si="114"/>
        <v/>
      </c>
      <c r="G762" s="11" t="str">
        <f t="shared" si="115"/>
        <v/>
      </c>
      <c r="H762" s="19" t="str">
        <f t="shared" si="112"/>
        <v/>
      </c>
      <c r="I762" s="21">
        <f t="shared" si="116"/>
        <v>0</v>
      </c>
      <c r="J762" s="21" t="e">
        <f t="shared" si="113"/>
        <v>#N/A</v>
      </c>
      <c r="K762" s="21" t="str">
        <f t="shared" si="117"/>
        <v/>
      </c>
    </row>
    <row r="763" spans="2:11" x14ac:dyDescent="0.25">
      <c r="B763" s="9" t="e">
        <f t="shared" si="118"/>
        <v>#N/A</v>
      </c>
      <c r="C763" s="10" t="e">
        <f t="shared" si="110"/>
        <v>#N/A</v>
      </c>
      <c r="D763" s="11" t="str">
        <f>IF(ISERROR(B763),"",bsolve($B763,$E$2,$E$4,$E$8,$E$9))</f>
        <v/>
      </c>
      <c r="E763" s="11" t="str">
        <f t="shared" si="111"/>
        <v/>
      </c>
      <c r="F763" s="11" t="str">
        <f t="shared" si="114"/>
        <v/>
      </c>
      <c r="G763" s="11" t="str">
        <f t="shared" si="115"/>
        <v/>
      </c>
      <c r="H763" s="19" t="str">
        <f t="shared" si="112"/>
        <v/>
      </c>
      <c r="I763" s="21">
        <f t="shared" si="116"/>
        <v>0</v>
      </c>
      <c r="J763" s="21" t="e">
        <f t="shared" si="113"/>
        <v>#N/A</v>
      </c>
      <c r="K763" s="21" t="str">
        <f t="shared" si="117"/>
        <v/>
      </c>
    </row>
    <row r="764" spans="2:11" x14ac:dyDescent="0.25">
      <c r="B764" s="9" t="e">
        <f t="shared" si="118"/>
        <v>#N/A</v>
      </c>
      <c r="C764" s="10" t="e">
        <f t="shared" si="110"/>
        <v>#N/A</v>
      </c>
      <c r="D764" s="11" t="str">
        <f>IF(ISERROR(B764),"",bsolve($B764,$E$2,$E$4,$E$8,$E$9))</f>
        <v/>
      </c>
      <c r="E764" s="11" t="str">
        <f t="shared" si="111"/>
        <v/>
      </c>
      <c r="F764" s="11" t="str">
        <f t="shared" si="114"/>
        <v/>
      </c>
      <c r="G764" s="11" t="str">
        <f t="shared" si="115"/>
        <v/>
      </c>
      <c r="H764" s="19" t="str">
        <f t="shared" si="112"/>
        <v/>
      </c>
      <c r="I764" s="21">
        <f t="shared" si="116"/>
        <v>0</v>
      </c>
      <c r="J764" s="21" t="e">
        <f t="shared" si="113"/>
        <v>#N/A</v>
      </c>
      <c r="K764" s="21" t="str">
        <f t="shared" si="117"/>
        <v/>
      </c>
    </row>
    <row r="765" spans="2:11" x14ac:dyDescent="0.25">
      <c r="B765" s="9" t="e">
        <f t="shared" si="118"/>
        <v>#N/A</v>
      </c>
      <c r="C765" s="10" t="e">
        <f t="shared" si="110"/>
        <v>#N/A</v>
      </c>
      <c r="D765" s="11" t="str">
        <f>IF(ISERROR(B765),"",bsolve($B765,$E$2,$E$4,$E$8,$E$9))</f>
        <v/>
      </c>
      <c r="E765" s="11" t="str">
        <f t="shared" si="111"/>
        <v/>
      </c>
      <c r="F765" s="11" t="str">
        <f t="shared" si="114"/>
        <v/>
      </c>
      <c r="G765" s="11" t="str">
        <f t="shared" si="115"/>
        <v/>
      </c>
      <c r="H765" s="19" t="str">
        <f t="shared" si="112"/>
        <v/>
      </c>
      <c r="I765" s="21">
        <f t="shared" si="116"/>
        <v>0</v>
      </c>
      <c r="J765" s="21" t="e">
        <f t="shared" si="113"/>
        <v>#N/A</v>
      </c>
      <c r="K765" s="21" t="str">
        <f t="shared" si="117"/>
        <v/>
      </c>
    </row>
    <row r="766" spans="2:11" x14ac:dyDescent="0.25">
      <c r="B766" s="9" t="e">
        <f t="shared" si="118"/>
        <v>#N/A</v>
      </c>
      <c r="C766" s="10" t="e">
        <f t="shared" si="110"/>
        <v>#N/A</v>
      </c>
      <c r="D766" s="11" t="str">
        <f>IF(ISERROR(B766),"",bsolve($B766,$E$2,$E$4,$E$8,$E$9))</f>
        <v/>
      </c>
      <c r="E766" s="11" t="str">
        <f t="shared" si="111"/>
        <v/>
      </c>
      <c r="F766" s="11" t="str">
        <f t="shared" si="114"/>
        <v/>
      </c>
      <c r="G766" s="11" t="str">
        <f t="shared" si="115"/>
        <v/>
      </c>
      <c r="H766" s="19" t="str">
        <f t="shared" si="112"/>
        <v/>
      </c>
      <c r="I766" s="21">
        <f t="shared" si="116"/>
        <v>0</v>
      </c>
      <c r="J766" s="21" t="e">
        <f t="shared" si="113"/>
        <v>#N/A</v>
      </c>
      <c r="K766" s="21" t="str">
        <f t="shared" si="117"/>
        <v/>
      </c>
    </row>
    <row r="767" spans="2:11" x14ac:dyDescent="0.25">
      <c r="B767" s="9" t="e">
        <f t="shared" si="118"/>
        <v>#N/A</v>
      </c>
      <c r="C767" s="10" t="e">
        <f t="shared" si="110"/>
        <v>#N/A</v>
      </c>
      <c r="D767" s="11" t="str">
        <f>IF(ISERROR(B767),"",bsolve($B767,$E$2,$E$4,$E$8,$E$9))</f>
        <v/>
      </c>
      <c r="E767" s="11" t="str">
        <f t="shared" si="111"/>
        <v/>
      </c>
      <c r="F767" s="11" t="str">
        <f t="shared" si="114"/>
        <v/>
      </c>
      <c r="G767" s="11" t="str">
        <f t="shared" si="115"/>
        <v/>
      </c>
      <c r="H767" s="19" t="str">
        <f t="shared" si="112"/>
        <v/>
      </c>
      <c r="I767" s="21">
        <f t="shared" si="116"/>
        <v>0</v>
      </c>
      <c r="J767" s="21" t="e">
        <f t="shared" si="113"/>
        <v>#N/A</v>
      </c>
      <c r="K767" s="21" t="str">
        <f t="shared" si="117"/>
        <v/>
      </c>
    </row>
    <row r="768" spans="2:11" x14ac:dyDescent="0.25">
      <c r="B768" s="9" t="e">
        <f t="shared" si="118"/>
        <v>#N/A</v>
      </c>
      <c r="C768" s="10" t="e">
        <f t="shared" si="110"/>
        <v>#N/A</v>
      </c>
      <c r="D768" s="11" t="str">
        <f>IF(ISERROR(B768),"",bsolve($B768,$E$2,$E$4,$E$8,$E$9))</f>
        <v/>
      </c>
      <c r="E768" s="11" t="str">
        <f t="shared" si="111"/>
        <v/>
      </c>
      <c r="F768" s="11" t="str">
        <f t="shared" si="114"/>
        <v/>
      </c>
      <c r="G768" s="11" t="str">
        <f t="shared" si="115"/>
        <v/>
      </c>
      <c r="H768" s="19" t="str">
        <f t="shared" si="112"/>
        <v/>
      </c>
      <c r="I768" s="21">
        <f t="shared" si="116"/>
        <v>0</v>
      </c>
      <c r="J768" s="21" t="e">
        <f t="shared" si="113"/>
        <v>#N/A</v>
      </c>
      <c r="K768" s="21" t="str">
        <f t="shared" si="117"/>
        <v/>
      </c>
    </row>
    <row r="769" spans="2:11" x14ac:dyDescent="0.25">
      <c r="B769" s="9" t="e">
        <f t="shared" si="118"/>
        <v>#N/A</v>
      </c>
      <c r="C769" s="10" t="e">
        <f t="shared" si="110"/>
        <v>#N/A</v>
      </c>
      <c r="D769" s="11" t="str">
        <f>IF(ISERROR(B769),"",bsolve($B769,$E$2,$E$4,$E$8,$E$9))</f>
        <v/>
      </c>
      <c r="E769" s="11" t="str">
        <f t="shared" si="111"/>
        <v/>
      </c>
      <c r="F769" s="11" t="str">
        <f t="shared" si="114"/>
        <v/>
      </c>
      <c r="G769" s="11" t="str">
        <f t="shared" si="115"/>
        <v/>
      </c>
      <c r="H769" s="19" t="str">
        <f t="shared" si="112"/>
        <v/>
      </c>
      <c r="I769" s="21">
        <f t="shared" si="116"/>
        <v>0</v>
      </c>
      <c r="J769" s="21" t="e">
        <f t="shared" si="113"/>
        <v>#N/A</v>
      </c>
      <c r="K769" s="21" t="str">
        <f t="shared" si="117"/>
        <v/>
      </c>
    </row>
    <row r="770" spans="2:11" x14ac:dyDescent="0.25">
      <c r="B770" s="9" t="e">
        <f t="shared" si="118"/>
        <v>#N/A</v>
      </c>
      <c r="C770" s="10" t="e">
        <f t="shared" si="110"/>
        <v>#N/A</v>
      </c>
      <c r="D770" s="11" t="str">
        <f>IF(ISERROR(B770),"",bsolve($B770,$E$2,$E$4,$E$8,$E$9))</f>
        <v/>
      </c>
      <c r="E770" s="11" t="str">
        <f t="shared" si="111"/>
        <v/>
      </c>
      <c r="F770" s="11" t="str">
        <f t="shared" si="114"/>
        <v/>
      </c>
      <c r="G770" s="11" t="str">
        <f t="shared" si="115"/>
        <v/>
      </c>
      <c r="H770" s="19" t="str">
        <f t="shared" si="112"/>
        <v/>
      </c>
      <c r="I770" s="21">
        <f t="shared" si="116"/>
        <v>0</v>
      </c>
      <c r="J770" s="21" t="e">
        <f t="shared" si="113"/>
        <v>#N/A</v>
      </c>
      <c r="K770" s="21" t="str">
        <f t="shared" si="117"/>
        <v/>
      </c>
    </row>
    <row r="771" spans="2:11" x14ac:dyDescent="0.25">
      <c r="B771" s="9" t="e">
        <f t="shared" si="118"/>
        <v>#N/A</v>
      </c>
      <c r="C771" s="10" t="e">
        <f t="shared" si="110"/>
        <v>#N/A</v>
      </c>
      <c r="D771" s="11" t="str">
        <f>IF(ISERROR(B771),"",bsolve($B771,$E$2,$E$4,$E$8,$E$9))</f>
        <v/>
      </c>
      <c r="E771" s="11" t="str">
        <f t="shared" si="111"/>
        <v/>
      </c>
      <c r="F771" s="11" t="str">
        <f t="shared" si="114"/>
        <v/>
      </c>
      <c r="G771" s="11" t="str">
        <f t="shared" si="115"/>
        <v/>
      </c>
      <c r="H771" s="19" t="str">
        <f t="shared" si="112"/>
        <v/>
      </c>
      <c r="I771" s="21">
        <f t="shared" si="116"/>
        <v>0</v>
      </c>
      <c r="J771" s="21" t="e">
        <f t="shared" si="113"/>
        <v>#N/A</v>
      </c>
      <c r="K771" s="21" t="str">
        <f t="shared" si="117"/>
        <v/>
      </c>
    </row>
    <row r="772" spans="2:11" x14ac:dyDescent="0.25">
      <c r="B772" s="9" t="e">
        <f t="shared" si="118"/>
        <v>#N/A</v>
      </c>
      <c r="C772" s="10" t="e">
        <f t="shared" si="110"/>
        <v>#N/A</v>
      </c>
      <c r="D772" s="11" t="str">
        <f>IF(ISERROR(B772),"",bsolve($B772,$E$2,$E$4,$E$8,$E$9))</f>
        <v/>
      </c>
      <c r="E772" s="11" t="str">
        <f t="shared" si="111"/>
        <v/>
      </c>
      <c r="F772" s="11" t="str">
        <f t="shared" si="114"/>
        <v/>
      </c>
      <c r="G772" s="11" t="str">
        <f t="shared" si="115"/>
        <v/>
      </c>
      <c r="H772" s="19" t="str">
        <f t="shared" si="112"/>
        <v/>
      </c>
      <c r="I772" s="21">
        <f t="shared" si="116"/>
        <v>0</v>
      </c>
      <c r="J772" s="21" t="e">
        <f t="shared" si="113"/>
        <v>#N/A</v>
      </c>
      <c r="K772" s="21" t="str">
        <f t="shared" si="117"/>
        <v/>
      </c>
    </row>
    <row r="773" spans="2:11" x14ac:dyDescent="0.25">
      <c r="B773" s="9" t="e">
        <f t="shared" si="118"/>
        <v>#N/A</v>
      </c>
      <c r="C773" s="10" t="e">
        <f t="shared" si="110"/>
        <v>#N/A</v>
      </c>
      <c r="D773" s="11" t="str">
        <f>IF(ISERROR(B773),"",bsolve($B773,$E$2,$E$4,$E$8,$E$9))</f>
        <v/>
      </c>
      <c r="E773" s="11" t="str">
        <f t="shared" si="111"/>
        <v/>
      </c>
      <c r="F773" s="11" t="str">
        <f t="shared" si="114"/>
        <v/>
      </c>
      <c r="G773" s="11" t="str">
        <f t="shared" si="115"/>
        <v/>
      </c>
      <c r="H773" s="19" t="str">
        <f t="shared" si="112"/>
        <v/>
      </c>
      <c r="I773" s="21">
        <f t="shared" si="116"/>
        <v>0</v>
      </c>
      <c r="J773" s="21" t="e">
        <f t="shared" si="113"/>
        <v>#N/A</v>
      </c>
      <c r="K773" s="21" t="str">
        <f t="shared" si="117"/>
        <v/>
      </c>
    </row>
    <row r="774" spans="2:11" x14ac:dyDescent="0.25">
      <c r="B774" s="9" t="e">
        <f t="shared" si="118"/>
        <v>#N/A</v>
      </c>
      <c r="C774" s="10" t="e">
        <f t="shared" si="110"/>
        <v>#N/A</v>
      </c>
      <c r="D774" s="11" t="str">
        <f>IF(ISERROR(B774),"",bsolve($B774,$E$2,$E$4,$E$8,$E$9))</f>
        <v/>
      </c>
      <c r="E774" s="11" t="str">
        <f t="shared" si="111"/>
        <v/>
      </c>
      <c r="F774" s="11" t="str">
        <f t="shared" si="114"/>
        <v/>
      </c>
      <c r="G774" s="11" t="str">
        <f t="shared" si="115"/>
        <v/>
      </c>
      <c r="H774" s="19" t="str">
        <f t="shared" si="112"/>
        <v/>
      </c>
      <c r="I774" s="21">
        <f t="shared" si="116"/>
        <v>0</v>
      </c>
      <c r="J774" s="21" t="e">
        <f t="shared" si="113"/>
        <v>#N/A</v>
      </c>
      <c r="K774" s="21" t="str">
        <f t="shared" si="117"/>
        <v/>
      </c>
    </row>
    <row r="775" spans="2:11" x14ac:dyDescent="0.25">
      <c r="B775" s="9" t="e">
        <f t="shared" si="118"/>
        <v>#N/A</v>
      </c>
      <c r="C775" s="10" t="e">
        <f t="shared" si="110"/>
        <v>#N/A</v>
      </c>
      <c r="D775" s="11" t="str">
        <f>IF(ISERROR(B775),"",bsolve($B775,$E$2,$E$4,$E$8,$E$9))</f>
        <v/>
      </c>
      <c r="E775" s="11" t="str">
        <f t="shared" si="111"/>
        <v/>
      </c>
      <c r="F775" s="11" t="str">
        <f t="shared" si="114"/>
        <v/>
      </c>
      <c r="G775" s="11" t="str">
        <f t="shared" si="115"/>
        <v/>
      </c>
      <c r="H775" s="19" t="str">
        <f t="shared" si="112"/>
        <v/>
      </c>
      <c r="I775" s="21">
        <f t="shared" si="116"/>
        <v>0</v>
      </c>
      <c r="J775" s="21" t="e">
        <f t="shared" si="113"/>
        <v>#N/A</v>
      </c>
      <c r="K775" s="21" t="str">
        <f t="shared" si="117"/>
        <v/>
      </c>
    </row>
    <row r="776" spans="2:11" x14ac:dyDescent="0.25">
      <c r="B776" s="9" t="e">
        <f t="shared" si="118"/>
        <v>#N/A</v>
      </c>
      <c r="C776" s="10" t="e">
        <f t="shared" si="110"/>
        <v>#N/A</v>
      </c>
      <c r="D776" s="11" t="str">
        <f>IF(ISERROR(B776),"",bsolve($B776,$E$2,$E$4,$E$8,$E$9))</f>
        <v/>
      </c>
      <c r="E776" s="11" t="str">
        <f t="shared" si="111"/>
        <v/>
      </c>
      <c r="F776" s="11" t="str">
        <f t="shared" si="114"/>
        <v/>
      </c>
      <c r="G776" s="11" t="str">
        <f t="shared" si="115"/>
        <v/>
      </c>
      <c r="H776" s="19" t="str">
        <f t="shared" si="112"/>
        <v/>
      </c>
      <c r="I776" s="21">
        <f t="shared" si="116"/>
        <v>0</v>
      </c>
      <c r="J776" s="21" t="e">
        <f t="shared" si="113"/>
        <v>#N/A</v>
      </c>
      <c r="K776" s="21" t="str">
        <f t="shared" si="117"/>
        <v/>
      </c>
    </row>
    <row r="777" spans="2:11" x14ac:dyDescent="0.25">
      <c r="B777" s="9" t="e">
        <f t="shared" si="118"/>
        <v>#N/A</v>
      </c>
      <c r="C777" s="10" t="e">
        <f t="shared" si="110"/>
        <v>#N/A</v>
      </c>
      <c r="D777" s="11" t="str">
        <f>IF(ISERROR(B777),"",bsolve($B777,$E$2,$E$4,$E$8,$E$9))</f>
        <v/>
      </c>
      <c r="E777" s="11" t="str">
        <f t="shared" si="111"/>
        <v/>
      </c>
      <c r="F777" s="11" t="str">
        <f t="shared" si="114"/>
        <v/>
      </c>
      <c r="G777" s="11" t="str">
        <f t="shared" si="115"/>
        <v/>
      </c>
      <c r="H777" s="19" t="str">
        <f t="shared" si="112"/>
        <v/>
      </c>
      <c r="I777" s="21">
        <f t="shared" si="116"/>
        <v>0</v>
      </c>
      <c r="J777" s="21" t="e">
        <f t="shared" si="113"/>
        <v>#N/A</v>
      </c>
      <c r="K777" s="21" t="str">
        <f t="shared" si="117"/>
        <v/>
      </c>
    </row>
    <row r="778" spans="2:11" x14ac:dyDescent="0.25">
      <c r="B778" s="9" t="e">
        <f t="shared" si="118"/>
        <v>#N/A</v>
      </c>
      <c r="C778" s="10" t="e">
        <f t="shared" si="110"/>
        <v>#N/A</v>
      </c>
      <c r="D778" s="11" t="str">
        <f>IF(ISERROR(B778),"",bsolve($B778,$E$2,$E$4,$E$8,$E$9))</f>
        <v/>
      </c>
      <c r="E778" s="11" t="str">
        <f t="shared" si="111"/>
        <v/>
      </c>
      <c r="F778" s="11" t="str">
        <f t="shared" si="114"/>
        <v/>
      </c>
      <c r="G778" s="11" t="str">
        <f t="shared" si="115"/>
        <v/>
      </c>
      <c r="H778" s="19" t="str">
        <f t="shared" si="112"/>
        <v/>
      </c>
      <c r="I778" s="21">
        <f t="shared" si="116"/>
        <v>0</v>
      </c>
      <c r="J778" s="21" t="e">
        <f t="shared" si="113"/>
        <v>#N/A</v>
      </c>
      <c r="K778" s="21" t="str">
        <f t="shared" si="117"/>
        <v/>
      </c>
    </row>
    <row r="779" spans="2:11" x14ac:dyDescent="0.25">
      <c r="B779" s="9" t="e">
        <f t="shared" si="118"/>
        <v>#N/A</v>
      </c>
      <c r="C779" s="10" t="e">
        <f t="shared" si="110"/>
        <v>#N/A</v>
      </c>
      <c r="D779" s="11" t="str">
        <f>IF(ISERROR(B779),"",bsolve($B779,$E$2,$E$4,$E$8,$E$9))</f>
        <v/>
      </c>
      <c r="E779" s="11" t="str">
        <f t="shared" si="111"/>
        <v/>
      </c>
      <c r="F779" s="11" t="str">
        <f t="shared" si="114"/>
        <v/>
      </c>
      <c r="G779" s="11" t="str">
        <f t="shared" si="115"/>
        <v/>
      </c>
      <c r="H779" s="19" t="str">
        <f t="shared" si="112"/>
        <v/>
      </c>
      <c r="I779" s="21">
        <f t="shared" si="116"/>
        <v>0</v>
      </c>
      <c r="J779" s="21" t="e">
        <f t="shared" si="113"/>
        <v>#N/A</v>
      </c>
      <c r="K779" s="21" t="str">
        <f t="shared" si="117"/>
        <v/>
      </c>
    </row>
    <row r="780" spans="2:11" x14ac:dyDescent="0.25">
      <c r="B780" s="9" t="e">
        <f t="shared" si="118"/>
        <v>#N/A</v>
      </c>
      <c r="C780" s="10" t="e">
        <f t="shared" si="110"/>
        <v>#N/A</v>
      </c>
      <c r="D780" s="11" t="str">
        <f>IF(ISERROR(B780),"",bsolve($B780,$E$2,$E$4,$E$8,$E$9))</f>
        <v/>
      </c>
      <c r="E780" s="11" t="str">
        <f t="shared" si="111"/>
        <v/>
      </c>
      <c r="F780" s="11" t="str">
        <f t="shared" si="114"/>
        <v/>
      </c>
      <c r="G780" s="11" t="str">
        <f t="shared" si="115"/>
        <v/>
      </c>
      <c r="H780" s="19" t="str">
        <f t="shared" si="112"/>
        <v/>
      </c>
      <c r="I780" s="21">
        <f t="shared" si="116"/>
        <v>0</v>
      </c>
      <c r="J780" s="21" t="e">
        <f t="shared" si="113"/>
        <v>#N/A</v>
      </c>
      <c r="K780" s="21" t="str">
        <f t="shared" si="117"/>
        <v/>
      </c>
    </row>
    <row r="781" spans="2:11" x14ac:dyDescent="0.25">
      <c r="B781" s="9" t="e">
        <f t="shared" si="118"/>
        <v>#N/A</v>
      </c>
      <c r="C781" s="10" t="e">
        <f t="shared" si="110"/>
        <v>#N/A</v>
      </c>
      <c r="D781" s="11" t="str">
        <f>IF(ISERROR(B781),"",bsolve($B781,$E$2,$E$4,$E$8,$E$9))</f>
        <v/>
      </c>
      <c r="E781" s="11" t="str">
        <f t="shared" si="111"/>
        <v/>
      </c>
      <c r="F781" s="11" t="str">
        <f t="shared" si="114"/>
        <v/>
      </c>
      <c r="G781" s="11" t="str">
        <f t="shared" si="115"/>
        <v/>
      </c>
      <c r="H781" s="19" t="str">
        <f t="shared" si="112"/>
        <v/>
      </c>
      <c r="I781" s="21">
        <f t="shared" si="116"/>
        <v>0</v>
      </c>
      <c r="J781" s="21" t="e">
        <f t="shared" si="113"/>
        <v>#N/A</v>
      </c>
      <c r="K781" s="21" t="str">
        <f t="shared" si="117"/>
        <v/>
      </c>
    </row>
    <row r="782" spans="2:11" x14ac:dyDescent="0.25">
      <c r="B782" s="9" t="e">
        <f t="shared" si="118"/>
        <v>#N/A</v>
      </c>
      <c r="C782" s="10" t="e">
        <f t="shared" si="110"/>
        <v>#N/A</v>
      </c>
      <c r="D782" s="11" t="str">
        <f>IF(ISERROR(B782),"",bsolve($B782,$E$2,$E$4,$E$8,$E$9))</f>
        <v/>
      </c>
      <c r="E782" s="11" t="str">
        <f t="shared" si="111"/>
        <v/>
      </c>
      <c r="F782" s="11" t="str">
        <f t="shared" si="114"/>
        <v/>
      </c>
      <c r="G782" s="11" t="str">
        <f t="shared" si="115"/>
        <v/>
      </c>
      <c r="H782" s="19" t="str">
        <f t="shared" si="112"/>
        <v/>
      </c>
      <c r="I782" s="21">
        <f t="shared" si="116"/>
        <v>0</v>
      </c>
      <c r="J782" s="21" t="e">
        <f t="shared" si="113"/>
        <v>#N/A</v>
      </c>
      <c r="K782" s="21" t="str">
        <f t="shared" si="117"/>
        <v/>
      </c>
    </row>
    <row r="783" spans="2:11" x14ac:dyDescent="0.25">
      <c r="B783" s="9" t="e">
        <f t="shared" si="118"/>
        <v>#N/A</v>
      </c>
      <c r="C783" s="10" t="e">
        <f t="shared" si="110"/>
        <v>#N/A</v>
      </c>
      <c r="D783" s="11" t="str">
        <f>IF(ISERROR(B783),"",bsolve($B783,$E$2,$E$4,$E$8,$E$9))</f>
        <v/>
      </c>
      <c r="E783" s="11" t="str">
        <f t="shared" si="111"/>
        <v/>
      </c>
      <c r="F783" s="11" t="str">
        <f t="shared" si="114"/>
        <v/>
      </c>
      <c r="G783" s="11" t="str">
        <f t="shared" si="115"/>
        <v/>
      </c>
      <c r="H783" s="19" t="str">
        <f t="shared" si="112"/>
        <v/>
      </c>
      <c r="I783" s="21">
        <f t="shared" si="116"/>
        <v>0</v>
      </c>
      <c r="J783" s="21" t="e">
        <f t="shared" si="113"/>
        <v>#N/A</v>
      </c>
      <c r="K783" s="21" t="str">
        <f t="shared" si="117"/>
        <v/>
      </c>
    </row>
    <row r="784" spans="2:11" x14ac:dyDescent="0.25">
      <c r="B784" s="9" t="e">
        <f t="shared" si="118"/>
        <v>#N/A</v>
      </c>
      <c r="C784" s="10" t="e">
        <f t="shared" si="110"/>
        <v>#N/A</v>
      </c>
      <c r="D784" s="11" t="str">
        <f>IF(ISERROR(B784),"",bsolve($B784,$E$2,$E$4,$E$8,$E$9))</f>
        <v/>
      </c>
      <c r="E784" s="11" t="str">
        <f t="shared" si="111"/>
        <v/>
      </c>
      <c r="F784" s="11" t="str">
        <f t="shared" si="114"/>
        <v/>
      </c>
      <c r="G784" s="11" t="str">
        <f t="shared" si="115"/>
        <v/>
      </c>
      <c r="H784" s="19" t="str">
        <f t="shared" si="112"/>
        <v/>
      </c>
      <c r="I784" s="21">
        <f t="shared" si="116"/>
        <v>0</v>
      </c>
      <c r="J784" s="21" t="e">
        <f t="shared" si="113"/>
        <v>#N/A</v>
      </c>
      <c r="K784" s="21" t="str">
        <f t="shared" si="117"/>
        <v/>
      </c>
    </row>
    <row r="785" spans="2:11" x14ac:dyDescent="0.25">
      <c r="B785" s="9" t="e">
        <f t="shared" si="118"/>
        <v>#N/A</v>
      </c>
      <c r="C785" s="10" t="e">
        <f t="shared" si="110"/>
        <v>#N/A</v>
      </c>
      <c r="D785" s="11" t="str">
        <f>IF(ISERROR(B785),"",bsolve($B785,$E$2,$E$4,$E$8,$E$9))</f>
        <v/>
      </c>
      <c r="E785" s="11" t="str">
        <f t="shared" si="111"/>
        <v/>
      </c>
      <c r="F785" s="11" t="str">
        <f t="shared" si="114"/>
        <v/>
      </c>
      <c r="G785" s="11" t="str">
        <f t="shared" si="115"/>
        <v/>
      </c>
      <c r="H785" s="19" t="str">
        <f t="shared" si="112"/>
        <v/>
      </c>
      <c r="I785" s="21">
        <f t="shared" si="116"/>
        <v>0</v>
      </c>
      <c r="J785" s="21" t="e">
        <f t="shared" si="113"/>
        <v>#N/A</v>
      </c>
      <c r="K785" s="21" t="str">
        <f t="shared" si="117"/>
        <v/>
      </c>
    </row>
    <row r="786" spans="2:11" x14ac:dyDescent="0.25">
      <c r="B786" s="9" t="e">
        <f t="shared" si="118"/>
        <v>#N/A</v>
      </c>
      <c r="C786" s="10" t="e">
        <f t="shared" ref="C786:C849" si="119">IF(B786="","",100*B786/$E$2)</f>
        <v>#N/A</v>
      </c>
      <c r="D786" s="11" t="str">
        <f>IF(ISERROR(B786),"",bsolve($B786,$E$2,$E$4,$E$8,$E$9))</f>
        <v/>
      </c>
      <c r="E786" s="11" t="str">
        <f t="shared" ref="E786:E849" si="120">IF(ISERROR(B786),"",IF(AND($E$7&lt;$E$5,C786&gt;=($E$5*100)),D786,0))</f>
        <v/>
      </c>
      <c r="F786" s="11" t="str">
        <f t="shared" si="114"/>
        <v/>
      </c>
      <c r="G786" s="11" t="str">
        <f t="shared" si="115"/>
        <v/>
      </c>
      <c r="H786" s="19" t="str">
        <f t="shared" ref="H786:H849" si="121">IF(ISERROR(B786),"",100*((B786*(1-$E$9))+($E$2-B786)*$E$8)/$E$2)</f>
        <v/>
      </c>
      <c r="I786" s="21">
        <f t="shared" si="116"/>
        <v>0</v>
      </c>
      <c r="J786" s="21" t="e">
        <f t="shared" ref="J786:J849" si="122">IF(ISERROR(B786),NA(),IF(AND(H786&gt;=$E$5*100,B786/$E$2&lt;$E$5),H786,NA()))</f>
        <v>#N/A</v>
      </c>
      <c r="K786" s="21" t="str">
        <f t="shared" si="117"/>
        <v/>
      </c>
    </row>
    <row r="787" spans="2:11" x14ac:dyDescent="0.25">
      <c r="B787" s="9" t="e">
        <f t="shared" si="118"/>
        <v>#N/A</v>
      </c>
      <c r="C787" s="10" t="e">
        <f t="shared" si="119"/>
        <v>#N/A</v>
      </c>
      <c r="D787" s="11" t="str">
        <f>IF(ISERROR(B787),"",bsolve($B787,$E$2,$E$4,$E$8,$E$9))</f>
        <v/>
      </c>
      <c r="E787" s="11" t="str">
        <f t="shared" si="120"/>
        <v/>
      </c>
      <c r="F787" s="11" t="str">
        <f t="shared" ref="F787:F850" si="123">IF(ISERROR(B787),"",IF(AND($E$7&gt;=$E$5,C787&lt;($E$5*100)),D787,0))</f>
        <v/>
      </c>
      <c r="G787" s="11" t="str">
        <f t="shared" ref="G787:G850" si="124">IF(ISERROR(B787),"",IF(C787&gt;=$E$5*100,D787,""))</f>
        <v/>
      </c>
      <c r="H787" s="19" t="str">
        <f t="shared" si="121"/>
        <v/>
      </c>
      <c r="I787" s="21">
        <f t="shared" ref="I787:I850" si="125">IF(NOT(ISERROR(J787)),B787,0)</f>
        <v>0</v>
      </c>
      <c r="J787" s="21" t="e">
        <f t="shared" si="122"/>
        <v>#N/A</v>
      </c>
      <c r="K787" s="21" t="str">
        <f t="shared" ref="K787:K850" si="126">IF(AND(I787=0,I788&gt;0),B787,"")</f>
        <v/>
      </c>
    </row>
    <row r="788" spans="2:11" x14ac:dyDescent="0.25">
      <c r="B788" s="9" t="e">
        <f t="shared" ref="B788:B851" si="127">IF(ROW()-18&lt;=$E$2,B787+1,NA())</f>
        <v>#N/A</v>
      </c>
      <c r="C788" s="10" t="e">
        <f t="shared" si="119"/>
        <v>#N/A</v>
      </c>
      <c r="D788" s="11" t="str">
        <f>IF(ISERROR(B788),"",bsolve($B788,$E$2,$E$4,$E$8,$E$9))</f>
        <v/>
      </c>
      <c r="E788" s="11" t="str">
        <f t="shared" si="120"/>
        <v/>
      </c>
      <c r="F788" s="11" t="str">
        <f t="shared" si="123"/>
        <v/>
      </c>
      <c r="G788" s="11" t="str">
        <f t="shared" si="124"/>
        <v/>
      </c>
      <c r="H788" s="19" t="str">
        <f t="shared" si="121"/>
        <v/>
      </c>
      <c r="I788" s="21">
        <f t="shared" si="125"/>
        <v>0</v>
      </c>
      <c r="J788" s="21" t="e">
        <f t="shared" si="122"/>
        <v>#N/A</v>
      </c>
      <c r="K788" s="21" t="str">
        <f t="shared" si="126"/>
        <v/>
      </c>
    </row>
    <row r="789" spans="2:11" x14ac:dyDescent="0.25">
      <c r="B789" s="9" t="e">
        <f t="shared" si="127"/>
        <v>#N/A</v>
      </c>
      <c r="C789" s="10" t="e">
        <f t="shared" si="119"/>
        <v>#N/A</v>
      </c>
      <c r="D789" s="11" t="str">
        <f>IF(ISERROR(B789),"",bsolve($B789,$E$2,$E$4,$E$8,$E$9))</f>
        <v/>
      </c>
      <c r="E789" s="11" t="str">
        <f t="shared" si="120"/>
        <v/>
      </c>
      <c r="F789" s="11" t="str">
        <f t="shared" si="123"/>
        <v/>
      </c>
      <c r="G789" s="11" t="str">
        <f t="shared" si="124"/>
        <v/>
      </c>
      <c r="H789" s="19" t="str">
        <f t="shared" si="121"/>
        <v/>
      </c>
      <c r="I789" s="21">
        <f t="shared" si="125"/>
        <v>0</v>
      </c>
      <c r="J789" s="21" t="e">
        <f t="shared" si="122"/>
        <v>#N/A</v>
      </c>
      <c r="K789" s="21" t="str">
        <f t="shared" si="126"/>
        <v/>
      </c>
    </row>
    <row r="790" spans="2:11" x14ac:dyDescent="0.25">
      <c r="B790" s="9" t="e">
        <f t="shared" si="127"/>
        <v>#N/A</v>
      </c>
      <c r="C790" s="10" t="e">
        <f t="shared" si="119"/>
        <v>#N/A</v>
      </c>
      <c r="D790" s="11" t="str">
        <f>IF(ISERROR(B790),"",bsolve($B790,$E$2,$E$4,$E$8,$E$9))</f>
        <v/>
      </c>
      <c r="E790" s="11" t="str">
        <f t="shared" si="120"/>
        <v/>
      </c>
      <c r="F790" s="11" t="str">
        <f t="shared" si="123"/>
        <v/>
      </c>
      <c r="G790" s="11" t="str">
        <f t="shared" si="124"/>
        <v/>
      </c>
      <c r="H790" s="19" t="str">
        <f t="shared" si="121"/>
        <v/>
      </c>
      <c r="I790" s="21">
        <f t="shared" si="125"/>
        <v>0</v>
      </c>
      <c r="J790" s="21" t="e">
        <f t="shared" si="122"/>
        <v>#N/A</v>
      </c>
      <c r="K790" s="21" t="str">
        <f t="shared" si="126"/>
        <v/>
      </c>
    </row>
    <row r="791" spans="2:11" x14ac:dyDescent="0.25">
      <c r="B791" s="9" t="e">
        <f t="shared" si="127"/>
        <v>#N/A</v>
      </c>
      <c r="C791" s="10" t="e">
        <f t="shared" si="119"/>
        <v>#N/A</v>
      </c>
      <c r="D791" s="11" t="str">
        <f>IF(ISERROR(B791),"",bsolve($B791,$E$2,$E$4,$E$8,$E$9))</f>
        <v/>
      </c>
      <c r="E791" s="11" t="str">
        <f t="shared" si="120"/>
        <v/>
      </c>
      <c r="F791" s="11" t="str">
        <f t="shared" si="123"/>
        <v/>
      </c>
      <c r="G791" s="11" t="str">
        <f t="shared" si="124"/>
        <v/>
      </c>
      <c r="H791" s="19" t="str">
        <f t="shared" si="121"/>
        <v/>
      </c>
      <c r="I791" s="21">
        <f t="shared" si="125"/>
        <v>0</v>
      </c>
      <c r="J791" s="21" t="e">
        <f t="shared" si="122"/>
        <v>#N/A</v>
      </c>
      <c r="K791" s="21" t="str">
        <f t="shared" si="126"/>
        <v/>
      </c>
    </row>
    <row r="792" spans="2:11" x14ac:dyDescent="0.25">
      <c r="B792" s="9" t="e">
        <f t="shared" si="127"/>
        <v>#N/A</v>
      </c>
      <c r="C792" s="10" t="e">
        <f t="shared" si="119"/>
        <v>#N/A</v>
      </c>
      <c r="D792" s="11" t="str">
        <f>IF(ISERROR(B792),"",bsolve($B792,$E$2,$E$4,$E$8,$E$9))</f>
        <v/>
      </c>
      <c r="E792" s="11" t="str">
        <f t="shared" si="120"/>
        <v/>
      </c>
      <c r="F792" s="11" t="str">
        <f t="shared" si="123"/>
        <v/>
      </c>
      <c r="G792" s="11" t="str">
        <f t="shared" si="124"/>
        <v/>
      </c>
      <c r="H792" s="19" t="str">
        <f t="shared" si="121"/>
        <v/>
      </c>
      <c r="I792" s="21">
        <f t="shared" si="125"/>
        <v>0</v>
      </c>
      <c r="J792" s="21" t="e">
        <f t="shared" si="122"/>
        <v>#N/A</v>
      </c>
      <c r="K792" s="21" t="str">
        <f t="shared" si="126"/>
        <v/>
      </c>
    </row>
    <row r="793" spans="2:11" x14ac:dyDescent="0.25">
      <c r="B793" s="9" t="e">
        <f t="shared" si="127"/>
        <v>#N/A</v>
      </c>
      <c r="C793" s="10" t="e">
        <f t="shared" si="119"/>
        <v>#N/A</v>
      </c>
      <c r="D793" s="11" t="str">
        <f>IF(ISERROR(B793),"",bsolve($B793,$E$2,$E$4,$E$8,$E$9))</f>
        <v/>
      </c>
      <c r="E793" s="11" t="str">
        <f t="shared" si="120"/>
        <v/>
      </c>
      <c r="F793" s="11" t="str">
        <f t="shared" si="123"/>
        <v/>
      </c>
      <c r="G793" s="11" t="str">
        <f t="shared" si="124"/>
        <v/>
      </c>
      <c r="H793" s="19" t="str">
        <f t="shared" si="121"/>
        <v/>
      </c>
      <c r="I793" s="21">
        <f t="shared" si="125"/>
        <v>0</v>
      </c>
      <c r="J793" s="21" t="e">
        <f t="shared" si="122"/>
        <v>#N/A</v>
      </c>
      <c r="K793" s="21" t="str">
        <f t="shared" si="126"/>
        <v/>
      </c>
    </row>
    <row r="794" spans="2:11" x14ac:dyDescent="0.25">
      <c r="B794" s="9" t="e">
        <f t="shared" si="127"/>
        <v>#N/A</v>
      </c>
      <c r="C794" s="10" t="e">
        <f t="shared" si="119"/>
        <v>#N/A</v>
      </c>
      <c r="D794" s="11" t="str">
        <f>IF(ISERROR(B794),"",bsolve($B794,$E$2,$E$4,$E$8,$E$9))</f>
        <v/>
      </c>
      <c r="E794" s="11" t="str">
        <f t="shared" si="120"/>
        <v/>
      </c>
      <c r="F794" s="11" t="str">
        <f t="shared" si="123"/>
        <v/>
      </c>
      <c r="G794" s="11" t="str">
        <f t="shared" si="124"/>
        <v/>
      </c>
      <c r="H794" s="19" t="str">
        <f t="shared" si="121"/>
        <v/>
      </c>
      <c r="I794" s="21">
        <f t="shared" si="125"/>
        <v>0</v>
      </c>
      <c r="J794" s="21" t="e">
        <f t="shared" si="122"/>
        <v>#N/A</v>
      </c>
      <c r="K794" s="21" t="str">
        <f t="shared" si="126"/>
        <v/>
      </c>
    </row>
    <row r="795" spans="2:11" x14ac:dyDescent="0.25">
      <c r="B795" s="9" t="e">
        <f t="shared" si="127"/>
        <v>#N/A</v>
      </c>
      <c r="C795" s="10" t="e">
        <f t="shared" si="119"/>
        <v>#N/A</v>
      </c>
      <c r="D795" s="11" t="str">
        <f>IF(ISERROR(B795),"",bsolve($B795,$E$2,$E$4,$E$8,$E$9))</f>
        <v/>
      </c>
      <c r="E795" s="11" t="str">
        <f t="shared" si="120"/>
        <v/>
      </c>
      <c r="F795" s="11" t="str">
        <f t="shared" si="123"/>
        <v/>
      </c>
      <c r="G795" s="11" t="str">
        <f t="shared" si="124"/>
        <v/>
      </c>
      <c r="H795" s="19" t="str">
        <f t="shared" si="121"/>
        <v/>
      </c>
      <c r="I795" s="21">
        <f t="shared" si="125"/>
        <v>0</v>
      </c>
      <c r="J795" s="21" t="e">
        <f t="shared" si="122"/>
        <v>#N/A</v>
      </c>
      <c r="K795" s="21" t="str">
        <f t="shared" si="126"/>
        <v/>
      </c>
    </row>
    <row r="796" spans="2:11" x14ac:dyDescent="0.25">
      <c r="B796" s="9" t="e">
        <f t="shared" si="127"/>
        <v>#N/A</v>
      </c>
      <c r="C796" s="10" t="e">
        <f t="shared" si="119"/>
        <v>#N/A</v>
      </c>
      <c r="D796" s="11" t="str">
        <f>IF(ISERROR(B796),"",bsolve($B796,$E$2,$E$4,$E$8,$E$9))</f>
        <v/>
      </c>
      <c r="E796" s="11" t="str">
        <f t="shared" si="120"/>
        <v/>
      </c>
      <c r="F796" s="11" t="str">
        <f t="shared" si="123"/>
        <v/>
      </c>
      <c r="G796" s="11" t="str">
        <f t="shared" si="124"/>
        <v/>
      </c>
      <c r="H796" s="19" t="str">
        <f t="shared" si="121"/>
        <v/>
      </c>
      <c r="I796" s="21">
        <f t="shared" si="125"/>
        <v>0</v>
      </c>
      <c r="J796" s="21" t="e">
        <f t="shared" si="122"/>
        <v>#N/A</v>
      </c>
      <c r="K796" s="21" t="str">
        <f t="shared" si="126"/>
        <v/>
      </c>
    </row>
    <row r="797" spans="2:11" x14ac:dyDescent="0.25">
      <c r="B797" s="9" t="e">
        <f t="shared" si="127"/>
        <v>#N/A</v>
      </c>
      <c r="C797" s="10" t="e">
        <f t="shared" si="119"/>
        <v>#N/A</v>
      </c>
      <c r="D797" s="11" t="str">
        <f>IF(ISERROR(B797),"",bsolve($B797,$E$2,$E$4,$E$8,$E$9))</f>
        <v/>
      </c>
      <c r="E797" s="11" t="str">
        <f t="shared" si="120"/>
        <v/>
      </c>
      <c r="F797" s="11" t="str">
        <f t="shared" si="123"/>
        <v/>
      </c>
      <c r="G797" s="11" t="str">
        <f t="shared" si="124"/>
        <v/>
      </c>
      <c r="H797" s="19" t="str">
        <f t="shared" si="121"/>
        <v/>
      </c>
      <c r="I797" s="21">
        <f t="shared" si="125"/>
        <v>0</v>
      </c>
      <c r="J797" s="21" t="e">
        <f t="shared" si="122"/>
        <v>#N/A</v>
      </c>
      <c r="K797" s="21" t="str">
        <f t="shared" si="126"/>
        <v/>
      </c>
    </row>
    <row r="798" spans="2:11" x14ac:dyDescent="0.25">
      <c r="B798" s="9" t="e">
        <f t="shared" si="127"/>
        <v>#N/A</v>
      </c>
      <c r="C798" s="10" t="e">
        <f t="shared" si="119"/>
        <v>#N/A</v>
      </c>
      <c r="D798" s="11" t="str">
        <f>IF(ISERROR(B798),"",bsolve($B798,$E$2,$E$4,$E$8,$E$9))</f>
        <v/>
      </c>
      <c r="E798" s="11" t="str">
        <f t="shared" si="120"/>
        <v/>
      </c>
      <c r="F798" s="11" t="str">
        <f t="shared" si="123"/>
        <v/>
      </c>
      <c r="G798" s="11" t="str">
        <f t="shared" si="124"/>
        <v/>
      </c>
      <c r="H798" s="19" t="str">
        <f t="shared" si="121"/>
        <v/>
      </c>
      <c r="I798" s="21">
        <f t="shared" si="125"/>
        <v>0</v>
      </c>
      <c r="J798" s="21" t="e">
        <f t="shared" si="122"/>
        <v>#N/A</v>
      </c>
      <c r="K798" s="21" t="str">
        <f t="shared" si="126"/>
        <v/>
      </c>
    </row>
    <row r="799" spans="2:11" x14ac:dyDescent="0.25">
      <c r="B799" s="9" t="e">
        <f t="shared" si="127"/>
        <v>#N/A</v>
      </c>
      <c r="C799" s="10" t="e">
        <f t="shared" si="119"/>
        <v>#N/A</v>
      </c>
      <c r="D799" s="11" t="str">
        <f>IF(ISERROR(B799),"",bsolve($B799,$E$2,$E$4,$E$8,$E$9))</f>
        <v/>
      </c>
      <c r="E799" s="11" t="str">
        <f t="shared" si="120"/>
        <v/>
      </c>
      <c r="F799" s="11" t="str">
        <f t="shared" si="123"/>
        <v/>
      </c>
      <c r="G799" s="11" t="str">
        <f t="shared" si="124"/>
        <v/>
      </c>
      <c r="H799" s="19" t="str">
        <f t="shared" si="121"/>
        <v/>
      </c>
      <c r="I799" s="21">
        <f t="shared" si="125"/>
        <v>0</v>
      </c>
      <c r="J799" s="21" t="e">
        <f t="shared" si="122"/>
        <v>#N/A</v>
      </c>
      <c r="K799" s="21" t="str">
        <f t="shared" si="126"/>
        <v/>
      </c>
    </row>
    <row r="800" spans="2:11" x14ac:dyDescent="0.25">
      <c r="B800" s="9" t="e">
        <f t="shared" si="127"/>
        <v>#N/A</v>
      </c>
      <c r="C800" s="10" t="e">
        <f t="shared" si="119"/>
        <v>#N/A</v>
      </c>
      <c r="D800" s="11" t="str">
        <f>IF(ISERROR(B800),"",bsolve($B800,$E$2,$E$4,$E$8,$E$9))</f>
        <v/>
      </c>
      <c r="E800" s="11" t="str">
        <f t="shared" si="120"/>
        <v/>
      </c>
      <c r="F800" s="11" t="str">
        <f t="shared" si="123"/>
        <v/>
      </c>
      <c r="G800" s="11" t="str">
        <f t="shared" si="124"/>
        <v/>
      </c>
      <c r="H800" s="19" t="str">
        <f t="shared" si="121"/>
        <v/>
      </c>
      <c r="I800" s="21">
        <f t="shared" si="125"/>
        <v>0</v>
      </c>
      <c r="J800" s="21" t="e">
        <f t="shared" si="122"/>
        <v>#N/A</v>
      </c>
      <c r="K800" s="21" t="str">
        <f t="shared" si="126"/>
        <v/>
      </c>
    </row>
    <row r="801" spans="2:11" x14ac:dyDescent="0.25">
      <c r="B801" s="9" t="e">
        <f t="shared" si="127"/>
        <v>#N/A</v>
      </c>
      <c r="C801" s="10" t="e">
        <f t="shared" si="119"/>
        <v>#N/A</v>
      </c>
      <c r="D801" s="11" t="str">
        <f>IF(ISERROR(B801),"",bsolve($B801,$E$2,$E$4,$E$8,$E$9))</f>
        <v/>
      </c>
      <c r="E801" s="11" t="str">
        <f t="shared" si="120"/>
        <v/>
      </c>
      <c r="F801" s="11" t="str">
        <f t="shared" si="123"/>
        <v/>
      </c>
      <c r="G801" s="11" t="str">
        <f t="shared" si="124"/>
        <v/>
      </c>
      <c r="H801" s="19" t="str">
        <f t="shared" si="121"/>
        <v/>
      </c>
      <c r="I801" s="21">
        <f t="shared" si="125"/>
        <v>0</v>
      </c>
      <c r="J801" s="21" t="e">
        <f t="shared" si="122"/>
        <v>#N/A</v>
      </c>
      <c r="K801" s="21" t="str">
        <f t="shared" si="126"/>
        <v/>
      </c>
    </row>
    <row r="802" spans="2:11" x14ac:dyDescent="0.25">
      <c r="B802" s="9" t="e">
        <f t="shared" si="127"/>
        <v>#N/A</v>
      </c>
      <c r="C802" s="10" t="e">
        <f t="shared" si="119"/>
        <v>#N/A</v>
      </c>
      <c r="D802" s="11" t="str">
        <f>IF(ISERROR(B802),"",bsolve($B802,$E$2,$E$4,$E$8,$E$9))</f>
        <v/>
      </c>
      <c r="E802" s="11" t="str">
        <f t="shared" si="120"/>
        <v/>
      </c>
      <c r="F802" s="11" t="str">
        <f t="shared" si="123"/>
        <v/>
      </c>
      <c r="G802" s="11" t="str">
        <f t="shared" si="124"/>
        <v/>
      </c>
      <c r="H802" s="19" t="str">
        <f t="shared" si="121"/>
        <v/>
      </c>
      <c r="I802" s="21">
        <f t="shared" si="125"/>
        <v>0</v>
      </c>
      <c r="J802" s="21" t="e">
        <f t="shared" si="122"/>
        <v>#N/A</v>
      </c>
      <c r="K802" s="21" t="str">
        <f t="shared" si="126"/>
        <v/>
      </c>
    </row>
    <row r="803" spans="2:11" x14ac:dyDescent="0.25">
      <c r="B803" s="9" t="e">
        <f t="shared" si="127"/>
        <v>#N/A</v>
      </c>
      <c r="C803" s="10" t="e">
        <f t="shared" si="119"/>
        <v>#N/A</v>
      </c>
      <c r="D803" s="11" t="str">
        <f>IF(ISERROR(B803),"",bsolve($B803,$E$2,$E$4,$E$8,$E$9))</f>
        <v/>
      </c>
      <c r="E803" s="11" t="str">
        <f t="shared" si="120"/>
        <v/>
      </c>
      <c r="F803" s="11" t="str">
        <f t="shared" si="123"/>
        <v/>
      </c>
      <c r="G803" s="11" t="str">
        <f t="shared" si="124"/>
        <v/>
      </c>
      <c r="H803" s="19" t="str">
        <f t="shared" si="121"/>
        <v/>
      </c>
      <c r="I803" s="21">
        <f t="shared" si="125"/>
        <v>0</v>
      </c>
      <c r="J803" s="21" t="e">
        <f t="shared" si="122"/>
        <v>#N/A</v>
      </c>
      <c r="K803" s="21" t="str">
        <f t="shared" si="126"/>
        <v/>
      </c>
    </row>
    <row r="804" spans="2:11" x14ac:dyDescent="0.25">
      <c r="B804" s="9" t="e">
        <f t="shared" si="127"/>
        <v>#N/A</v>
      </c>
      <c r="C804" s="10" t="e">
        <f t="shared" si="119"/>
        <v>#N/A</v>
      </c>
      <c r="D804" s="11" t="str">
        <f>IF(ISERROR(B804),"",bsolve($B804,$E$2,$E$4,$E$8,$E$9))</f>
        <v/>
      </c>
      <c r="E804" s="11" t="str">
        <f t="shared" si="120"/>
        <v/>
      </c>
      <c r="F804" s="11" t="str">
        <f t="shared" si="123"/>
        <v/>
      </c>
      <c r="G804" s="11" t="str">
        <f t="shared" si="124"/>
        <v/>
      </c>
      <c r="H804" s="19" t="str">
        <f t="shared" si="121"/>
        <v/>
      </c>
      <c r="I804" s="21">
        <f t="shared" si="125"/>
        <v>0</v>
      </c>
      <c r="J804" s="21" t="e">
        <f t="shared" si="122"/>
        <v>#N/A</v>
      </c>
      <c r="K804" s="21" t="str">
        <f t="shared" si="126"/>
        <v/>
      </c>
    </row>
    <row r="805" spans="2:11" x14ac:dyDescent="0.25">
      <c r="B805" s="9" t="e">
        <f t="shared" si="127"/>
        <v>#N/A</v>
      </c>
      <c r="C805" s="10" t="e">
        <f t="shared" si="119"/>
        <v>#N/A</v>
      </c>
      <c r="D805" s="11" t="str">
        <f>IF(ISERROR(B805),"",bsolve($B805,$E$2,$E$4,$E$8,$E$9))</f>
        <v/>
      </c>
      <c r="E805" s="11" t="str">
        <f t="shared" si="120"/>
        <v/>
      </c>
      <c r="F805" s="11" t="str">
        <f t="shared" si="123"/>
        <v/>
      </c>
      <c r="G805" s="11" t="str">
        <f t="shared" si="124"/>
        <v/>
      </c>
      <c r="H805" s="19" t="str">
        <f t="shared" si="121"/>
        <v/>
      </c>
      <c r="I805" s="21">
        <f t="shared" si="125"/>
        <v>0</v>
      </c>
      <c r="J805" s="21" t="e">
        <f t="shared" si="122"/>
        <v>#N/A</v>
      </c>
      <c r="K805" s="21" t="str">
        <f t="shared" si="126"/>
        <v/>
      </c>
    </row>
    <row r="806" spans="2:11" x14ac:dyDescent="0.25">
      <c r="B806" s="9" t="e">
        <f t="shared" si="127"/>
        <v>#N/A</v>
      </c>
      <c r="C806" s="10" t="e">
        <f t="shared" si="119"/>
        <v>#N/A</v>
      </c>
      <c r="D806" s="11" t="str">
        <f>IF(ISERROR(B806),"",bsolve($B806,$E$2,$E$4,$E$8,$E$9))</f>
        <v/>
      </c>
      <c r="E806" s="11" t="str">
        <f t="shared" si="120"/>
        <v/>
      </c>
      <c r="F806" s="11" t="str">
        <f t="shared" si="123"/>
        <v/>
      </c>
      <c r="G806" s="11" t="str">
        <f t="shared" si="124"/>
        <v/>
      </c>
      <c r="H806" s="19" t="str">
        <f t="shared" si="121"/>
        <v/>
      </c>
      <c r="I806" s="21">
        <f t="shared" si="125"/>
        <v>0</v>
      </c>
      <c r="J806" s="21" t="e">
        <f t="shared" si="122"/>
        <v>#N/A</v>
      </c>
      <c r="K806" s="21" t="str">
        <f t="shared" si="126"/>
        <v/>
      </c>
    </row>
    <row r="807" spans="2:11" x14ac:dyDescent="0.25">
      <c r="B807" s="9" t="e">
        <f t="shared" si="127"/>
        <v>#N/A</v>
      </c>
      <c r="C807" s="10" t="e">
        <f t="shared" si="119"/>
        <v>#N/A</v>
      </c>
      <c r="D807" s="11" t="str">
        <f>IF(ISERROR(B807),"",bsolve($B807,$E$2,$E$4,$E$8,$E$9))</f>
        <v/>
      </c>
      <c r="E807" s="11" t="str">
        <f t="shared" si="120"/>
        <v/>
      </c>
      <c r="F807" s="11" t="str">
        <f t="shared" si="123"/>
        <v/>
      </c>
      <c r="G807" s="11" t="str">
        <f t="shared" si="124"/>
        <v/>
      </c>
      <c r="H807" s="19" t="str">
        <f t="shared" si="121"/>
        <v/>
      </c>
      <c r="I807" s="21">
        <f t="shared" si="125"/>
        <v>0</v>
      </c>
      <c r="J807" s="21" t="e">
        <f t="shared" si="122"/>
        <v>#N/A</v>
      </c>
      <c r="K807" s="21" t="str">
        <f t="shared" si="126"/>
        <v/>
      </c>
    </row>
    <row r="808" spans="2:11" x14ac:dyDescent="0.25">
      <c r="B808" s="9" t="e">
        <f t="shared" si="127"/>
        <v>#N/A</v>
      </c>
      <c r="C808" s="10" t="e">
        <f t="shared" si="119"/>
        <v>#N/A</v>
      </c>
      <c r="D808" s="11" t="str">
        <f>IF(ISERROR(B808),"",bsolve($B808,$E$2,$E$4,$E$8,$E$9))</f>
        <v/>
      </c>
      <c r="E808" s="11" t="str">
        <f t="shared" si="120"/>
        <v/>
      </c>
      <c r="F808" s="11" t="str">
        <f t="shared" si="123"/>
        <v/>
      </c>
      <c r="G808" s="11" t="str">
        <f t="shared" si="124"/>
        <v/>
      </c>
      <c r="H808" s="19" t="str">
        <f t="shared" si="121"/>
        <v/>
      </c>
      <c r="I808" s="21">
        <f t="shared" si="125"/>
        <v>0</v>
      </c>
      <c r="J808" s="21" t="e">
        <f t="shared" si="122"/>
        <v>#N/A</v>
      </c>
      <c r="K808" s="21" t="str">
        <f t="shared" si="126"/>
        <v/>
      </c>
    </row>
    <row r="809" spans="2:11" x14ac:dyDescent="0.25">
      <c r="B809" s="9" t="e">
        <f t="shared" si="127"/>
        <v>#N/A</v>
      </c>
      <c r="C809" s="10" t="e">
        <f t="shared" si="119"/>
        <v>#N/A</v>
      </c>
      <c r="D809" s="11" t="str">
        <f>IF(ISERROR(B809),"",bsolve($B809,$E$2,$E$4,$E$8,$E$9))</f>
        <v/>
      </c>
      <c r="E809" s="11" t="str">
        <f t="shared" si="120"/>
        <v/>
      </c>
      <c r="F809" s="11" t="str">
        <f t="shared" si="123"/>
        <v/>
      </c>
      <c r="G809" s="11" t="str">
        <f t="shared" si="124"/>
        <v/>
      </c>
      <c r="H809" s="19" t="str">
        <f t="shared" si="121"/>
        <v/>
      </c>
      <c r="I809" s="21">
        <f t="shared" si="125"/>
        <v>0</v>
      </c>
      <c r="J809" s="21" t="e">
        <f t="shared" si="122"/>
        <v>#N/A</v>
      </c>
      <c r="K809" s="21" t="str">
        <f t="shared" si="126"/>
        <v/>
      </c>
    </row>
    <row r="810" spans="2:11" x14ac:dyDescent="0.25">
      <c r="B810" s="9" t="e">
        <f t="shared" si="127"/>
        <v>#N/A</v>
      </c>
      <c r="C810" s="10" t="e">
        <f t="shared" si="119"/>
        <v>#N/A</v>
      </c>
      <c r="D810" s="11" t="str">
        <f>IF(ISERROR(B810),"",bsolve($B810,$E$2,$E$4,$E$8,$E$9))</f>
        <v/>
      </c>
      <c r="E810" s="11" t="str">
        <f t="shared" si="120"/>
        <v/>
      </c>
      <c r="F810" s="11" t="str">
        <f t="shared" si="123"/>
        <v/>
      </c>
      <c r="G810" s="11" t="str">
        <f t="shared" si="124"/>
        <v/>
      </c>
      <c r="H810" s="19" t="str">
        <f t="shared" si="121"/>
        <v/>
      </c>
      <c r="I810" s="21">
        <f t="shared" si="125"/>
        <v>0</v>
      </c>
      <c r="J810" s="21" t="e">
        <f t="shared" si="122"/>
        <v>#N/A</v>
      </c>
      <c r="K810" s="21" t="str">
        <f t="shared" si="126"/>
        <v/>
      </c>
    </row>
    <row r="811" spans="2:11" x14ac:dyDescent="0.25">
      <c r="B811" s="9" t="e">
        <f t="shared" si="127"/>
        <v>#N/A</v>
      </c>
      <c r="C811" s="10" t="e">
        <f t="shared" si="119"/>
        <v>#N/A</v>
      </c>
      <c r="D811" s="11" t="str">
        <f>IF(ISERROR(B811),"",bsolve($B811,$E$2,$E$4,$E$8,$E$9))</f>
        <v/>
      </c>
      <c r="E811" s="11" t="str">
        <f t="shared" si="120"/>
        <v/>
      </c>
      <c r="F811" s="11" t="str">
        <f t="shared" si="123"/>
        <v/>
      </c>
      <c r="G811" s="11" t="str">
        <f t="shared" si="124"/>
        <v/>
      </c>
      <c r="H811" s="19" t="str">
        <f t="shared" si="121"/>
        <v/>
      </c>
      <c r="I811" s="21">
        <f t="shared" si="125"/>
        <v>0</v>
      </c>
      <c r="J811" s="21" t="e">
        <f t="shared" si="122"/>
        <v>#N/A</v>
      </c>
      <c r="K811" s="21" t="str">
        <f t="shared" si="126"/>
        <v/>
      </c>
    </row>
    <row r="812" spans="2:11" x14ac:dyDescent="0.25">
      <c r="B812" s="9" t="e">
        <f t="shared" si="127"/>
        <v>#N/A</v>
      </c>
      <c r="C812" s="10" t="e">
        <f t="shared" si="119"/>
        <v>#N/A</v>
      </c>
      <c r="D812" s="11" t="str">
        <f>IF(ISERROR(B812),"",bsolve($B812,$E$2,$E$4,$E$8,$E$9))</f>
        <v/>
      </c>
      <c r="E812" s="11" t="str">
        <f t="shared" si="120"/>
        <v/>
      </c>
      <c r="F812" s="11" t="str">
        <f t="shared" si="123"/>
        <v/>
      </c>
      <c r="G812" s="11" t="str">
        <f t="shared" si="124"/>
        <v/>
      </c>
      <c r="H812" s="19" t="str">
        <f t="shared" si="121"/>
        <v/>
      </c>
      <c r="I812" s="21">
        <f t="shared" si="125"/>
        <v>0</v>
      </c>
      <c r="J812" s="21" t="e">
        <f t="shared" si="122"/>
        <v>#N/A</v>
      </c>
      <c r="K812" s="21" t="str">
        <f t="shared" si="126"/>
        <v/>
      </c>
    </row>
    <row r="813" spans="2:11" x14ac:dyDescent="0.25">
      <c r="B813" s="9" t="e">
        <f t="shared" si="127"/>
        <v>#N/A</v>
      </c>
      <c r="C813" s="10" t="e">
        <f t="shared" si="119"/>
        <v>#N/A</v>
      </c>
      <c r="D813" s="11" t="str">
        <f>IF(ISERROR(B813),"",bsolve($B813,$E$2,$E$4,$E$8,$E$9))</f>
        <v/>
      </c>
      <c r="E813" s="11" t="str">
        <f t="shared" si="120"/>
        <v/>
      </c>
      <c r="F813" s="11" t="str">
        <f t="shared" si="123"/>
        <v/>
      </c>
      <c r="G813" s="11" t="str">
        <f t="shared" si="124"/>
        <v/>
      </c>
      <c r="H813" s="19" t="str">
        <f t="shared" si="121"/>
        <v/>
      </c>
      <c r="I813" s="21">
        <f t="shared" si="125"/>
        <v>0</v>
      </c>
      <c r="J813" s="21" t="e">
        <f t="shared" si="122"/>
        <v>#N/A</v>
      </c>
      <c r="K813" s="21" t="str">
        <f t="shared" si="126"/>
        <v/>
      </c>
    </row>
    <row r="814" spans="2:11" x14ac:dyDescent="0.25">
      <c r="B814" s="9" t="e">
        <f t="shared" si="127"/>
        <v>#N/A</v>
      </c>
      <c r="C814" s="10" t="e">
        <f t="shared" si="119"/>
        <v>#N/A</v>
      </c>
      <c r="D814" s="11" t="str">
        <f>IF(ISERROR(B814),"",bsolve($B814,$E$2,$E$4,$E$8,$E$9))</f>
        <v/>
      </c>
      <c r="E814" s="11" t="str">
        <f t="shared" si="120"/>
        <v/>
      </c>
      <c r="F814" s="11" t="str">
        <f t="shared" si="123"/>
        <v/>
      </c>
      <c r="G814" s="11" t="str">
        <f t="shared" si="124"/>
        <v/>
      </c>
      <c r="H814" s="19" t="str">
        <f t="shared" si="121"/>
        <v/>
      </c>
      <c r="I814" s="21">
        <f t="shared" si="125"/>
        <v>0</v>
      </c>
      <c r="J814" s="21" t="e">
        <f t="shared" si="122"/>
        <v>#N/A</v>
      </c>
      <c r="K814" s="21" t="str">
        <f t="shared" si="126"/>
        <v/>
      </c>
    </row>
    <row r="815" spans="2:11" x14ac:dyDescent="0.25">
      <c r="B815" s="9" t="e">
        <f t="shared" si="127"/>
        <v>#N/A</v>
      </c>
      <c r="C815" s="10" t="e">
        <f t="shared" si="119"/>
        <v>#N/A</v>
      </c>
      <c r="D815" s="11" t="str">
        <f>IF(ISERROR(B815),"",bsolve($B815,$E$2,$E$4,$E$8,$E$9))</f>
        <v/>
      </c>
      <c r="E815" s="11" t="str">
        <f t="shared" si="120"/>
        <v/>
      </c>
      <c r="F815" s="11" t="str">
        <f t="shared" si="123"/>
        <v/>
      </c>
      <c r="G815" s="11" t="str">
        <f t="shared" si="124"/>
        <v/>
      </c>
      <c r="H815" s="19" t="str">
        <f t="shared" si="121"/>
        <v/>
      </c>
      <c r="I815" s="21">
        <f t="shared" si="125"/>
        <v>0</v>
      </c>
      <c r="J815" s="21" t="e">
        <f t="shared" si="122"/>
        <v>#N/A</v>
      </c>
      <c r="K815" s="21" t="str">
        <f t="shared" si="126"/>
        <v/>
      </c>
    </row>
    <row r="816" spans="2:11" x14ac:dyDescent="0.25">
      <c r="B816" s="9" t="e">
        <f t="shared" si="127"/>
        <v>#N/A</v>
      </c>
      <c r="C816" s="10" t="e">
        <f t="shared" si="119"/>
        <v>#N/A</v>
      </c>
      <c r="D816" s="11" t="str">
        <f>IF(ISERROR(B816),"",bsolve($B816,$E$2,$E$4,$E$8,$E$9))</f>
        <v/>
      </c>
      <c r="E816" s="11" t="str">
        <f t="shared" si="120"/>
        <v/>
      </c>
      <c r="F816" s="11" t="str">
        <f t="shared" si="123"/>
        <v/>
      </c>
      <c r="G816" s="11" t="str">
        <f t="shared" si="124"/>
        <v/>
      </c>
      <c r="H816" s="19" t="str">
        <f t="shared" si="121"/>
        <v/>
      </c>
      <c r="I816" s="21">
        <f t="shared" si="125"/>
        <v>0</v>
      </c>
      <c r="J816" s="21" t="e">
        <f t="shared" si="122"/>
        <v>#N/A</v>
      </c>
      <c r="K816" s="21" t="str">
        <f t="shared" si="126"/>
        <v/>
      </c>
    </row>
    <row r="817" spans="2:11" x14ac:dyDescent="0.25">
      <c r="B817" s="9" t="e">
        <f t="shared" si="127"/>
        <v>#N/A</v>
      </c>
      <c r="C817" s="10" t="e">
        <f t="shared" si="119"/>
        <v>#N/A</v>
      </c>
      <c r="D817" s="11" t="str">
        <f>IF(ISERROR(B817),"",bsolve($B817,$E$2,$E$4,$E$8,$E$9))</f>
        <v/>
      </c>
      <c r="E817" s="11" t="str">
        <f t="shared" si="120"/>
        <v/>
      </c>
      <c r="F817" s="11" t="str">
        <f t="shared" si="123"/>
        <v/>
      </c>
      <c r="G817" s="11" t="str">
        <f t="shared" si="124"/>
        <v/>
      </c>
      <c r="H817" s="19" t="str">
        <f t="shared" si="121"/>
        <v/>
      </c>
      <c r="I817" s="21">
        <f t="shared" si="125"/>
        <v>0</v>
      </c>
      <c r="J817" s="21" t="e">
        <f t="shared" si="122"/>
        <v>#N/A</v>
      </c>
      <c r="K817" s="21" t="str">
        <f t="shared" si="126"/>
        <v/>
      </c>
    </row>
    <row r="818" spans="2:11" x14ac:dyDescent="0.25">
      <c r="B818" s="9" t="e">
        <f t="shared" si="127"/>
        <v>#N/A</v>
      </c>
      <c r="C818" s="10" t="e">
        <f t="shared" si="119"/>
        <v>#N/A</v>
      </c>
      <c r="D818" s="11" t="str">
        <f>IF(ISERROR(B818),"",bsolve($B818,$E$2,$E$4,$E$8,$E$9))</f>
        <v/>
      </c>
      <c r="E818" s="11" t="str">
        <f t="shared" si="120"/>
        <v/>
      </c>
      <c r="F818" s="11" t="str">
        <f t="shared" si="123"/>
        <v/>
      </c>
      <c r="G818" s="11" t="str">
        <f t="shared" si="124"/>
        <v/>
      </c>
      <c r="H818" s="19" t="str">
        <f t="shared" si="121"/>
        <v/>
      </c>
      <c r="I818" s="21">
        <f t="shared" si="125"/>
        <v>0</v>
      </c>
      <c r="J818" s="21" t="e">
        <f t="shared" si="122"/>
        <v>#N/A</v>
      </c>
      <c r="K818" s="21" t="str">
        <f t="shared" si="126"/>
        <v/>
      </c>
    </row>
    <row r="819" spans="2:11" x14ac:dyDescent="0.25">
      <c r="B819" s="9" t="e">
        <f t="shared" si="127"/>
        <v>#N/A</v>
      </c>
      <c r="C819" s="10" t="e">
        <f t="shared" si="119"/>
        <v>#N/A</v>
      </c>
      <c r="D819" s="11" t="str">
        <f>IF(ISERROR(B819),"",bsolve($B819,$E$2,$E$4,$E$8,$E$9))</f>
        <v/>
      </c>
      <c r="E819" s="11" t="str">
        <f t="shared" si="120"/>
        <v/>
      </c>
      <c r="F819" s="11" t="str">
        <f t="shared" si="123"/>
        <v/>
      </c>
      <c r="G819" s="11" t="str">
        <f t="shared" si="124"/>
        <v/>
      </c>
      <c r="H819" s="19" t="str">
        <f t="shared" si="121"/>
        <v/>
      </c>
      <c r="I819" s="21">
        <f t="shared" si="125"/>
        <v>0</v>
      </c>
      <c r="J819" s="21" t="e">
        <f t="shared" si="122"/>
        <v>#N/A</v>
      </c>
      <c r="K819" s="21" t="str">
        <f t="shared" si="126"/>
        <v/>
      </c>
    </row>
    <row r="820" spans="2:11" x14ac:dyDescent="0.25">
      <c r="B820" s="9" t="e">
        <f t="shared" si="127"/>
        <v>#N/A</v>
      </c>
      <c r="C820" s="10" t="e">
        <f t="shared" si="119"/>
        <v>#N/A</v>
      </c>
      <c r="D820" s="11" t="str">
        <f>IF(ISERROR(B820),"",bsolve($B820,$E$2,$E$4,$E$8,$E$9))</f>
        <v/>
      </c>
      <c r="E820" s="11" t="str">
        <f t="shared" si="120"/>
        <v/>
      </c>
      <c r="F820" s="11" t="str">
        <f t="shared" si="123"/>
        <v/>
      </c>
      <c r="G820" s="11" t="str">
        <f t="shared" si="124"/>
        <v/>
      </c>
      <c r="H820" s="19" t="str">
        <f t="shared" si="121"/>
        <v/>
      </c>
      <c r="I820" s="21">
        <f t="shared" si="125"/>
        <v>0</v>
      </c>
      <c r="J820" s="21" t="e">
        <f t="shared" si="122"/>
        <v>#N/A</v>
      </c>
      <c r="K820" s="21" t="str">
        <f t="shared" si="126"/>
        <v/>
      </c>
    </row>
    <row r="821" spans="2:11" x14ac:dyDescent="0.25">
      <c r="B821" s="9" t="e">
        <f t="shared" si="127"/>
        <v>#N/A</v>
      </c>
      <c r="C821" s="10" t="e">
        <f t="shared" si="119"/>
        <v>#N/A</v>
      </c>
      <c r="D821" s="11" t="str">
        <f>IF(ISERROR(B821),"",bsolve($B821,$E$2,$E$4,$E$8,$E$9))</f>
        <v/>
      </c>
      <c r="E821" s="11" t="str">
        <f t="shared" si="120"/>
        <v/>
      </c>
      <c r="F821" s="11" t="str">
        <f t="shared" si="123"/>
        <v/>
      </c>
      <c r="G821" s="11" t="str">
        <f t="shared" si="124"/>
        <v/>
      </c>
      <c r="H821" s="19" t="str">
        <f t="shared" si="121"/>
        <v/>
      </c>
      <c r="I821" s="21">
        <f t="shared" si="125"/>
        <v>0</v>
      </c>
      <c r="J821" s="21" t="e">
        <f t="shared" si="122"/>
        <v>#N/A</v>
      </c>
      <c r="K821" s="21" t="str">
        <f t="shared" si="126"/>
        <v/>
      </c>
    </row>
    <row r="822" spans="2:11" x14ac:dyDescent="0.25">
      <c r="B822" s="9" t="e">
        <f t="shared" si="127"/>
        <v>#N/A</v>
      </c>
      <c r="C822" s="10" t="e">
        <f t="shared" si="119"/>
        <v>#N/A</v>
      </c>
      <c r="D822" s="11" t="str">
        <f>IF(ISERROR(B822),"",bsolve($B822,$E$2,$E$4,$E$8,$E$9))</f>
        <v/>
      </c>
      <c r="E822" s="11" t="str">
        <f t="shared" si="120"/>
        <v/>
      </c>
      <c r="F822" s="11" t="str">
        <f t="shared" si="123"/>
        <v/>
      </c>
      <c r="G822" s="11" t="str">
        <f t="shared" si="124"/>
        <v/>
      </c>
      <c r="H822" s="19" t="str">
        <f t="shared" si="121"/>
        <v/>
      </c>
      <c r="I822" s="21">
        <f t="shared" si="125"/>
        <v>0</v>
      </c>
      <c r="J822" s="21" t="e">
        <f t="shared" si="122"/>
        <v>#N/A</v>
      </c>
      <c r="K822" s="21" t="str">
        <f t="shared" si="126"/>
        <v/>
      </c>
    </row>
    <row r="823" spans="2:11" x14ac:dyDescent="0.25">
      <c r="B823" s="9" t="e">
        <f t="shared" si="127"/>
        <v>#N/A</v>
      </c>
      <c r="C823" s="10" t="e">
        <f t="shared" si="119"/>
        <v>#N/A</v>
      </c>
      <c r="D823" s="11" t="str">
        <f>IF(ISERROR(B823),"",bsolve($B823,$E$2,$E$4,$E$8,$E$9))</f>
        <v/>
      </c>
      <c r="E823" s="11" t="str">
        <f t="shared" si="120"/>
        <v/>
      </c>
      <c r="F823" s="11" t="str">
        <f t="shared" si="123"/>
        <v/>
      </c>
      <c r="G823" s="11" t="str">
        <f t="shared" si="124"/>
        <v/>
      </c>
      <c r="H823" s="19" t="str">
        <f t="shared" si="121"/>
        <v/>
      </c>
      <c r="I823" s="21">
        <f t="shared" si="125"/>
        <v>0</v>
      </c>
      <c r="J823" s="21" t="e">
        <f t="shared" si="122"/>
        <v>#N/A</v>
      </c>
      <c r="K823" s="21" t="str">
        <f t="shared" si="126"/>
        <v/>
      </c>
    </row>
    <row r="824" spans="2:11" x14ac:dyDescent="0.25">
      <c r="B824" s="9" t="e">
        <f t="shared" si="127"/>
        <v>#N/A</v>
      </c>
      <c r="C824" s="10" t="e">
        <f t="shared" si="119"/>
        <v>#N/A</v>
      </c>
      <c r="D824" s="11" t="str">
        <f>IF(ISERROR(B824),"",bsolve($B824,$E$2,$E$4,$E$8,$E$9))</f>
        <v/>
      </c>
      <c r="E824" s="11" t="str">
        <f t="shared" si="120"/>
        <v/>
      </c>
      <c r="F824" s="11" t="str">
        <f t="shared" si="123"/>
        <v/>
      </c>
      <c r="G824" s="11" t="str">
        <f t="shared" si="124"/>
        <v/>
      </c>
      <c r="H824" s="19" t="str">
        <f t="shared" si="121"/>
        <v/>
      </c>
      <c r="I824" s="21">
        <f t="shared" si="125"/>
        <v>0</v>
      </c>
      <c r="J824" s="21" t="e">
        <f t="shared" si="122"/>
        <v>#N/A</v>
      </c>
      <c r="K824" s="21" t="str">
        <f t="shared" si="126"/>
        <v/>
      </c>
    </row>
    <row r="825" spans="2:11" x14ac:dyDescent="0.25">
      <c r="B825" s="9" t="e">
        <f t="shared" si="127"/>
        <v>#N/A</v>
      </c>
      <c r="C825" s="10" t="e">
        <f t="shared" si="119"/>
        <v>#N/A</v>
      </c>
      <c r="D825" s="11" t="str">
        <f>IF(ISERROR(B825),"",bsolve($B825,$E$2,$E$4,$E$8,$E$9))</f>
        <v/>
      </c>
      <c r="E825" s="11" t="str">
        <f t="shared" si="120"/>
        <v/>
      </c>
      <c r="F825" s="11" t="str">
        <f t="shared" si="123"/>
        <v/>
      </c>
      <c r="G825" s="11" t="str">
        <f t="shared" si="124"/>
        <v/>
      </c>
      <c r="H825" s="19" t="str">
        <f t="shared" si="121"/>
        <v/>
      </c>
      <c r="I825" s="21">
        <f t="shared" si="125"/>
        <v>0</v>
      </c>
      <c r="J825" s="21" t="e">
        <f t="shared" si="122"/>
        <v>#N/A</v>
      </c>
      <c r="K825" s="21" t="str">
        <f t="shared" si="126"/>
        <v/>
      </c>
    </row>
    <row r="826" spans="2:11" x14ac:dyDescent="0.25">
      <c r="B826" s="9" t="e">
        <f t="shared" si="127"/>
        <v>#N/A</v>
      </c>
      <c r="C826" s="10" t="e">
        <f t="shared" si="119"/>
        <v>#N/A</v>
      </c>
      <c r="D826" s="11" t="str">
        <f>IF(ISERROR(B826),"",bsolve($B826,$E$2,$E$4,$E$8,$E$9))</f>
        <v/>
      </c>
      <c r="E826" s="11" t="str">
        <f t="shared" si="120"/>
        <v/>
      </c>
      <c r="F826" s="11" t="str">
        <f t="shared" si="123"/>
        <v/>
      </c>
      <c r="G826" s="11" t="str">
        <f t="shared" si="124"/>
        <v/>
      </c>
      <c r="H826" s="19" t="str">
        <f t="shared" si="121"/>
        <v/>
      </c>
      <c r="I826" s="21">
        <f t="shared" si="125"/>
        <v>0</v>
      </c>
      <c r="J826" s="21" t="e">
        <f t="shared" si="122"/>
        <v>#N/A</v>
      </c>
      <c r="K826" s="21" t="str">
        <f t="shared" si="126"/>
        <v/>
      </c>
    </row>
    <row r="827" spans="2:11" x14ac:dyDescent="0.25">
      <c r="B827" s="9" t="e">
        <f t="shared" si="127"/>
        <v>#N/A</v>
      </c>
      <c r="C827" s="10" t="e">
        <f t="shared" si="119"/>
        <v>#N/A</v>
      </c>
      <c r="D827" s="11" t="str">
        <f>IF(ISERROR(B827),"",bsolve($B827,$E$2,$E$4,$E$8,$E$9))</f>
        <v/>
      </c>
      <c r="E827" s="11" t="str">
        <f t="shared" si="120"/>
        <v/>
      </c>
      <c r="F827" s="11" t="str">
        <f t="shared" si="123"/>
        <v/>
      </c>
      <c r="G827" s="11" t="str">
        <f t="shared" si="124"/>
        <v/>
      </c>
      <c r="H827" s="19" t="str">
        <f t="shared" si="121"/>
        <v/>
      </c>
      <c r="I827" s="21">
        <f t="shared" si="125"/>
        <v>0</v>
      </c>
      <c r="J827" s="21" t="e">
        <f t="shared" si="122"/>
        <v>#N/A</v>
      </c>
      <c r="K827" s="21" t="str">
        <f t="shared" si="126"/>
        <v/>
      </c>
    </row>
    <row r="828" spans="2:11" x14ac:dyDescent="0.25">
      <c r="B828" s="9" t="e">
        <f t="shared" si="127"/>
        <v>#N/A</v>
      </c>
      <c r="C828" s="10" t="e">
        <f t="shared" si="119"/>
        <v>#N/A</v>
      </c>
      <c r="D828" s="11" t="str">
        <f>IF(ISERROR(B828),"",bsolve($B828,$E$2,$E$4,$E$8,$E$9))</f>
        <v/>
      </c>
      <c r="E828" s="11" t="str">
        <f t="shared" si="120"/>
        <v/>
      </c>
      <c r="F828" s="11" t="str">
        <f t="shared" si="123"/>
        <v/>
      </c>
      <c r="G828" s="11" t="str">
        <f t="shared" si="124"/>
        <v/>
      </c>
      <c r="H828" s="19" t="str">
        <f t="shared" si="121"/>
        <v/>
      </c>
      <c r="I828" s="21">
        <f t="shared" si="125"/>
        <v>0</v>
      </c>
      <c r="J828" s="21" t="e">
        <f t="shared" si="122"/>
        <v>#N/A</v>
      </c>
      <c r="K828" s="21" t="str">
        <f t="shared" si="126"/>
        <v/>
      </c>
    </row>
    <row r="829" spans="2:11" x14ac:dyDescent="0.25">
      <c r="B829" s="9" t="e">
        <f t="shared" si="127"/>
        <v>#N/A</v>
      </c>
      <c r="C829" s="10" t="e">
        <f t="shared" si="119"/>
        <v>#N/A</v>
      </c>
      <c r="D829" s="11" t="str">
        <f>IF(ISERROR(B829),"",bsolve($B829,$E$2,$E$4,$E$8,$E$9))</f>
        <v/>
      </c>
      <c r="E829" s="11" t="str">
        <f t="shared" si="120"/>
        <v/>
      </c>
      <c r="F829" s="11" t="str">
        <f t="shared" si="123"/>
        <v/>
      </c>
      <c r="G829" s="11" t="str">
        <f t="shared" si="124"/>
        <v/>
      </c>
      <c r="H829" s="19" t="str">
        <f t="shared" si="121"/>
        <v/>
      </c>
      <c r="I829" s="21">
        <f t="shared" si="125"/>
        <v>0</v>
      </c>
      <c r="J829" s="21" t="e">
        <f t="shared" si="122"/>
        <v>#N/A</v>
      </c>
      <c r="K829" s="21" t="str">
        <f t="shared" si="126"/>
        <v/>
      </c>
    </row>
    <row r="830" spans="2:11" x14ac:dyDescent="0.25">
      <c r="B830" s="9" t="e">
        <f t="shared" si="127"/>
        <v>#N/A</v>
      </c>
      <c r="C830" s="10" t="e">
        <f t="shared" si="119"/>
        <v>#N/A</v>
      </c>
      <c r="D830" s="11" t="str">
        <f>IF(ISERROR(B830),"",bsolve($B830,$E$2,$E$4,$E$8,$E$9))</f>
        <v/>
      </c>
      <c r="E830" s="11" t="str">
        <f t="shared" si="120"/>
        <v/>
      </c>
      <c r="F830" s="11" t="str">
        <f t="shared" si="123"/>
        <v/>
      </c>
      <c r="G830" s="11" t="str">
        <f t="shared" si="124"/>
        <v/>
      </c>
      <c r="H830" s="19" t="str">
        <f t="shared" si="121"/>
        <v/>
      </c>
      <c r="I830" s="21">
        <f t="shared" si="125"/>
        <v>0</v>
      </c>
      <c r="J830" s="21" t="e">
        <f t="shared" si="122"/>
        <v>#N/A</v>
      </c>
      <c r="K830" s="21" t="str">
        <f t="shared" si="126"/>
        <v/>
      </c>
    </row>
    <row r="831" spans="2:11" x14ac:dyDescent="0.25">
      <c r="B831" s="9" t="e">
        <f t="shared" si="127"/>
        <v>#N/A</v>
      </c>
      <c r="C831" s="10" t="e">
        <f t="shared" si="119"/>
        <v>#N/A</v>
      </c>
      <c r="D831" s="11" t="str">
        <f>IF(ISERROR(B831),"",bsolve($B831,$E$2,$E$4,$E$8,$E$9))</f>
        <v/>
      </c>
      <c r="E831" s="11" t="str">
        <f t="shared" si="120"/>
        <v/>
      </c>
      <c r="F831" s="11" t="str">
        <f t="shared" si="123"/>
        <v/>
      </c>
      <c r="G831" s="11" t="str">
        <f t="shared" si="124"/>
        <v/>
      </c>
      <c r="H831" s="19" t="str">
        <f t="shared" si="121"/>
        <v/>
      </c>
      <c r="I831" s="21">
        <f t="shared" si="125"/>
        <v>0</v>
      </c>
      <c r="J831" s="21" t="e">
        <f t="shared" si="122"/>
        <v>#N/A</v>
      </c>
      <c r="K831" s="21" t="str">
        <f t="shared" si="126"/>
        <v/>
      </c>
    </row>
    <row r="832" spans="2:11" x14ac:dyDescent="0.25">
      <c r="B832" s="9" t="e">
        <f t="shared" si="127"/>
        <v>#N/A</v>
      </c>
      <c r="C832" s="10" t="e">
        <f t="shared" si="119"/>
        <v>#N/A</v>
      </c>
      <c r="D832" s="11" t="str">
        <f>IF(ISERROR(B832),"",bsolve($B832,$E$2,$E$4,$E$8,$E$9))</f>
        <v/>
      </c>
      <c r="E832" s="11" t="str">
        <f t="shared" si="120"/>
        <v/>
      </c>
      <c r="F832" s="11" t="str">
        <f t="shared" si="123"/>
        <v/>
      </c>
      <c r="G832" s="11" t="str">
        <f t="shared" si="124"/>
        <v/>
      </c>
      <c r="H832" s="19" t="str">
        <f t="shared" si="121"/>
        <v/>
      </c>
      <c r="I832" s="21">
        <f t="shared" si="125"/>
        <v>0</v>
      </c>
      <c r="J832" s="21" t="e">
        <f t="shared" si="122"/>
        <v>#N/A</v>
      </c>
      <c r="K832" s="21" t="str">
        <f t="shared" si="126"/>
        <v/>
      </c>
    </row>
    <row r="833" spans="2:11" x14ac:dyDescent="0.25">
      <c r="B833" s="9" t="e">
        <f t="shared" si="127"/>
        <v>#N/A</v>
      </c>
      <c r="C833" s="10" t="e">
        <f t="shared" si="119"/>
        <v>#N/A</v>
      </c>
      <c r="D833" s="11" t="str">
        <f>IF(ISERROR(B833),"",bsolve($B833,$E$2,$E$4,$E$8,$E$9))</f>
        <v/>
      </c>
      <c r="E833" s="11" t="str">
        <f t="shared" si="120"/>
        <v/>
      </c>
      <c r="F833" s="11" t="str">
        <f t="shared" si="123"/>
        <v/>
      </c>
      <c r="G833" s="11" t="str">
        <f t="shared" si="124"/>
        <v/>
      </c>
      <c r="H833" s="19" t="str">
        <f t="shared" si="121"/>
        <v/>
      </c>
      <c r="I833" s="21">
        <f t="shared" si="125"/>
        <v>0</v>
      </c>
      <c r="J833" s="21" t="e">
        <f t="shared" si="122"/>
        <v>#N/A</v>
      </c>
      <c r="K833" s="21" t="str">
        <f t="shared" si="126"/>
        <v/>
      </c>
    </row>
    <row r="834" spans="2:11" x14ac:dyDescent="0.25">
      <c r="B834" s="9" t="e">
        <f t="shared" si="127"/>
        <v>#N/A</v>
      </c>
      <c r="C834" s="10" t="e">
        <f t="shared" si="119"/>
        <v>#N/A</v>
      </c>
      <c r="D834" s="11" t="str">
        <f>IF(ISERROR(B834),"",bsolve($B834,$E$2,$E$4,$E$8,$E$9))</f>
        <v/>
      </c>
      <c r="E834" s="11" t="str">
        <f t="shared" si="120"/>
        <v/>
      </c>
      <c r="F834" s="11" t="str">
        <f t="shared" si="123"/>
        <v/>
      </c>
      <c r="G834" s="11" t="str">
        <f t="shared" si="124"/>
        <v/>
      </c>
      <c r="H834" s="19" t="str">
        <f t="shared" si="121"/>
        <v/>
      </c>
      <c r="I834" s="21">
        <f t="shared" si="125"/>
        <v>0</v>
      </c>
      <c r="J834" s="21" t="e">
        <f t="shared" si="122"/>
        <v>#N/A</v>
      </c>
      <c r="K834" s="21" t="str">
        <f t="shared" si="126"/>
        <v/>
      </c>
    </row>
    <row r="835" spans="2:11" x14ac:dyDescent="0.25">
      <c r="B835" s="9" t="e">
        <f t="shared" si="127"/>
        <v>#N/A</v>
      </c>
      <c r="C835" s="10" t="e">
        <f t="shared" si="119"/>
        <v>#N/A</v>
      </c>
      <c r="D835" s="11" t="str">
        <f>IF(ISERROR(B835),"",bsolve($B835,$E$2,$E$4,$E$8,$E$9))</f>
        <v/>
      </c>
      <c r="E835" s="11" t="str">
        <f t="shared" si="120"/>
        <v/>
      </c>
      <c r="F835" s="11" t="str">
        <f t="shared" si="123"/>
        <v/>
      </c>
      <c r="G835" s="11" t="str">
        <f t="shared" si="124"/>
        <v/>
      </c>
      <c r="H835" s="19" t="str">
        <f t="shared" si="121"/>
        <v/>
      </c>
      <c r="I835" s="21">
        <f t="shared" si="125"/>
        <v>0</v>
      </c>
      <c r="J835" s="21" t="e">
        <f t="shared" si="122"/>
        <v>#N/A</v>
      </c>
      <c r="K835" s="21" t="str">
        <f t="shared" si="126"/>
        <v/>
      </c>
    </row>
    <row r="836" spans="2:11" x14ac:dyDescent="0.25">
      <c r="B836" s="9" t="e">
        <f t="shared" si="127"/>
        <v>#N/A</v>
      </c>
      <c r="C836" s="10" t="e">
        <f t="shared" si="119"/>
        <v>#N/A</v>
      </c>
      <c r="D836" s="11" t="str">
        <f>IF(ISERROR(B836),"",bsolve($B836,$E$2,$E$4,$E$8,$E$9))</f>
        <v/>
      </c>
      <c r="E836" s="11" t="str">
        <f t="shared" si="120"/>
        <v/>
      </c>
      <c r="F836" s="11" t="str">
        <f t="shared" si="123"/>
        <v/>
      </c>
      <c r="G836" s="11" t="str">
        <f t="shared" si="124"/>
        <v/>
      </c>
      <c r="H836" s="19" t="str">
        <f t="shared" si="121"/>
        <v/>
      </c>
      <c r="I836" s="21">
        <f t="shared" si="125"/>
        <v>0</v>
      </c>
      <c r="J836" s="21" t="e">
        <f t="shared" si="122"/>
        <v>#N/A</v>
      </c>
      <c r="K836" s="21" t="str">
        <f t="shared" si="126"/>
        <v/>
      </c>
    </row>
    <row r="837" spans="2:11" x14ac:dyDescent="0.25">
      <c r="B837" s="9" t="e">
        <f t="shared" si="127"/>
        <v>#N/A</v>
      </c>
      <c r="C837" s="10" t="e">
        <f t="shared" si="119"/>
        <v>#N/A</v>
      </c>
      <c r="D837" s="11" t="str">
        <f>IF(ISERROR(B837),"",bsolve($B837,$E$2,$E$4,$E$8,$E$9))</f>
        <v/>
      </c>
      <c r="E837" s="11" t="str">
        <f t="shared" si="120"/>
        <v/>
      </c>
      <c r="F837" s="11" t="str">
        <f t="shared" si="123"/>
        <v/>
      </c>
      <c r="G837" s="11" t="str">
        <f t="shared" si="124"/>
        <v/>
      </c>
      <c r="H837" s="19" t="str">
        <f t="shared" si="121"/>
        <v/>
      </c>
      <c r="I837" s="21">
        <f t="shared" si="125"/>
        <v>0</v>
      </c>
      <c r="J837" s="21" t="e">
        <f t="shared" si="122"/>
        <v>#N/A</v>
      </c>
      <c r="K837" s="21" t="str">
        <f t="shared" si="126"/>
        <v/>
      </c>
    </row>
    <row r="838" spans="2:11" x14ac:dyDescent="0.25">
      <c r="B838" s="9" t="e">
        <f t="shared" si="127"/>
        <v>#N/A</v>
      </c>
      <c r="C838" s="10" t="e">
        <f t="shared" si="119"/>
        <v>#N/A</v>
      </c>
      <c r="D838" s="11" t="str">
        <f>IF(ISERROR(B838),"",bsolve($B838,$E$2,$E$4,$E$8,$E$9))</f>
        <v/>
      </c>
      <c r="E838" s="11" t="str">
        <f t="shared" si="120"/>
        <v/>
      </c>
      <c r="F838" s="11" t="str">
        <f t="shared" si="123"/>
        <v/>
      </c>
      <c r="G838" s="11" t="str">
        <f t="shared" si="124"/>
        <v/>
      </c>
      <c r="H838" s="19" t="str">
        <f t="shared" si="121"/>
        <v/>
      </c>
      <c r="I838" s="21">
        <f t="shared" si="125"/>
        <v>0</v>
      </c>
      <c r="J838" s="21" t="e">
        <f t="shared" si="122"/>
        <v>#N/A</v>
      </c>
      <c r="K838" s="21" t="str">
        <f t="shared" si="126"/>
        <v/>
      </c>
    </row>
    <row r="839" spans="2:11" x14ac:dyDescent="0.25">
      <c r="B839" s="9" t="e">
        <f t="shared" si="127"/>
        <v>#N/A</v>
      </c>
      <c r="C839" s="10" t="e">
        <f t="shared" si="119"/>
        <v>#N/A</v>
      </c>
      <c r="D839" s="11" t="str">
        <f>IF(ISERROR(B839),"",bsolve($B839,$E$2,$E$4,$E$8,$E$9))</f>
        <v/>
      </c>
      <c r="E839" s="11" t="str">
        <f t="shared" si="120"/>
        <v/>
      </c>
      <c r="F839" s="11" t="str">
        <f t="shared" si="123"/>
        <v/>
      </c>
      <c r="G839" s="11" t="str">
        <f t="shared" si="124"/>
        <v/>
      </c>
      <c r="H839" s="19" t="str">
        <f t="shared" si="121"/>
        <v/>
      </c>
      <c r="I839" s="21">
        <f t="shared" si="125"/>
        <v>0</v>
      </c>
      <c r="J839" s="21" t="e">
        <f t="shared" si="122"/>
        <v>#N/A</v>
      </c>
      <c r="K839" s="21" t="str">
        <f t="shared" si="126"/>
        <v/>
      </c>
    </row>
    <row r="840" spans="2:11" x14ac:dyDescent="0.25">
      <c r="B840" s="9" t="e">
        <f t="shared" si="127"/>
        <v>#N/A</v>
      </c>
      <c r="C840" s="10" t="e">
        <f t="shared" si="119"/>
        <v>#N/A</v>
      </c>
      <c r="D840" s="11" t="str">
        <f>IF(ISERROR(B840),"",bsolve($B840,$E$2,$E$4,$E$8,$E$9))</f>
        <v/>
      </c>
      <c r="E840" s="11" t="str">
        <f t="shared" si="120"/>
        <v/>
      </c>
      <c r="F840" s="11" t="str">
        <f t="shared" si="123"/>
        <v/>
      </c>
      <c r="G840" s="11" t="str">
        <f t="shared" si="124"/>
        <v/>
      </c>
      <c r="H840" s="19" t="str">
        <f t="shared" si="121"/>
        <v/>
      </c>
      <c r="I840" s="21">
        <f t="shared" si="125"/>
        <v>0</v>
      </c>
      <c r="J840" s="21" t="e">
        <f t="shared" si="122"/>
        <v>#N/A</v>
      </c>
      <c r="K840" s="21" t="str">
        <f t="shared" si="126"/>
        <v/>
      </c>
    </row>
    <row r="841" spans="2:11" x14ac:dyDescent="0.25">
      <c r="B841" s="9" t="e">
        <f t="shared" si="127"/>
        <v>#N/A</v>
      </c>
      <c r="C841" s="10" t="e">
        <f t="shared" si="119"/>
        <v>#N/A</v>
      </c>
      <c r="D841" s="11" t="str">
        <f>IF(ISERROR(B841),"",bsolve($B841,$E$2,$E$4,$E$8,$E$9))</f>
        <v/>
      </c>
      <c r="E841" s="11" t="str">
        <f t="shared" si="120"/>
        <v/>
      </c>
      <c r="F841" s="11" t="str">
        <f t="shared" si="123"/>
        <v/>
      </c>
      <c r="G841" s="11" t="str">
        <f t="shared" si="124"/>
        <v/>
      </c>
      <c r="H841" s="19" t="str">
        <f t="shared" si="121"/>
        <v/>
      </c>
      <c r="I841" s="21">
        <f t="shared" si="125"/>
        <v>0</v>
      </c>
      <c r="J841" s="21" t="e">
        <f t="shared" si="122"/>
        <v>#N/A</v>
      </c>
      <c r="K841" s="21" t="str">
        <f t="shared" si="126"/>
        <v/>
      </c>
    </row>
    <row r="842" spans="2:11" x14ac:dyDescent="0.25">
      <c r="B842" s="9" t="e">
        <f t="shared" si="127"/>
        <v>#N/A</v>
      </c>
      <c r="C842" s="10" t="e">
        <f t="shared" si="119"/>
        <v>#N/A</v>
      </c>
      <c r="D842" s="11" t="str">
        <f>IF(ISERROR(B842),"",bsolve($B842,$E$2,$E$4,$E$8,$E$9))</f>
        <v/>
      </c>
      <c r="E842" s="11" t="str">
        <f t="shared" si="120"/>
        <v/>
      </c>
      <c r="F842" s="11" t="str">
        <f t="shared" si="123"/>
        <v/>
      </c>
      <c r="G842" s="11" t="str">
        <f t="shared" si="124"/>
        <v/>
      </c>
      <c r="H842" s="19" t="str">
        <f t="shared" si="121"/>
        <v/>
      </c>
      <c r="I842" s="21">
        <f t="shared" si="125"/>
        <v>0</v>
      </c>
      <c r="J842" s="21" t="e">
        <f t="shared" si="122"/>
        <v>#N/A</v>
      </c>
      <c r="K842" s="21" t="str">
        <f t="shared" si="126"/>
        <v/>
      </c>
    </row>
    <row r="843" spans="2:11" x14ac:dyDescent="0.25">
      <c r="B843" s="9" t="e">
        <f t="shared" si="127"/>
        <v>#N/A</v>
      </c>
      <c r="C843" s="10" t="e">
        <f t="shared" si="119"/>
        <v>#N/A</v>
      </c>
      <c r="D843" s="11" t="str">
        <f>IF(ISERROR(B843),"",bsolve($B843,$E$2,$E$4,$E$8,$E$9))</f>
        <v/>
      </c>
      <c r="E843" s="11" t="str">
        <f t="shared" si="120"/>
        <v/>
      </c>
      <c r="F843" s="11" t="str">
        <f t="shared" si="123"/>
        <v/>
      </c>
      <c r="G843" s="11" t="str">
        <f t="shared" si="124"/>
        <v/>
      </c>
      <c r="H843" s="19" t="str">
        <f t="shared" si="121"/>
        <v/>
      </c>
      <c r="I843" s="21">
        <f t="shared" si="125"/>
        <v>0</v>
      </c>
      <c r="J843" s="21" t="e">
        <f t="shared" si="122"/>
        <v>#N/A</v>
      </c>
      <c r="K843" s="21" t="str">
        <f t="shared" si="126"/>
        <v/>
      </c>
    </row>
    <row r="844" spans="2:11" x14ac:dyDescent="0.25">
      <c r="B844" s="9" t="e">
        <f t="shared" si="127"/>
        <v>#N/A</v>
      </c>
      <c r="C844" s="10" t="e">
        <f t="shared" si="119"/>
        <v>#N/A</v>
      </c>
      <c r="D844" s="11" t="str">
        <f>IF(ISERROR(B844),"",bsolve($B844,$E$2,$E$4,$E$8,$E$9))</f>
        <v/>
      </c>
      <c r="E844" s="11" t="str">
        <f t="shared" si="120"/>
        <v/>
      </c>
      <c r="F844" s="11" t="str">
        <f t="shared" si="123"/>
        <v/>
      </c>
      <c r="G844" s="11" t="str">
        <f t="shared" si="124"/>
        <v/>
      </c>
      <c r="H844" s="19" t="str">
        <f t="shared" si="121"/>
        <v/>
      </c>
      <c r="I844" s="21">
        <f t="shared" si="125"/>
        <v>0</v>
      </c>
      <c r="J844" s="21" t="e">
        <f t="shared" si="122"/>
        <v>#N/A</v>
      </c>
      <c r="K844" s="21" t="str">
        <f t="shared" si="126"/>
        <v/>
      </c>
    </row>
    <row r="845" spans="2:11" x14ac:dyDescent="0.25">
      <c r="B845" s="9" t="e">
        <f t="shared" si="127"/>
        <v>#N/A</v>
      </c>
      <c r="C845" s="10" t="e">
        <f t="shared" si="119"/>
        <v>#N/A</v>
      </c>
      <c r="D845" s="11" t="str">
        <f>IF(ISERROR(B845),"",bsolve($B845,$E$2,$E$4,$E$8,$E$9))</f>
        <v/>
      </c>
      <c r="E845" s="11" t="str">
        <f t="shared" si="120"/>
        <v/>
      </c>
      <c r="F845" s="11" t="str">
        <f t="shared" si="123"/>
        <v/>
      </c>
      <c r="G845" s="11" t="str">
        <f t="shared" si="124"/>
        <v/>
      </c>
      <c r="H845" s="19" t="str">
        <f t="shared" si="121"/>
        <v/>
      </c>
      <c r="I845" s="21">
        <f t="shared" si="125"/>
        <v>0</v>
      </c>
      <c r="J845" s="21" t="e">
        <f t="shared" si="122"/>
        <v>#N/A</v>
      </c>
      <c r="K845" s="21" t="str">
        <f t="shared" si="126"/>
        <v/>
      </c>
    </row>
    <row r="846" spans="2:11" x14ac:dyDescent="0.25">
      <c r="B846" s="9" t="e">
        <f t="shared" si="127"/>
        <v>#N/A</v>
      </c>
      <c r="C846" s="10" t="e">
        <f t="shared" si="119"/>
        <v>#N/A</v>
      </c>
      <c r="D846" s="11" t="str">
        <f>IF(ISERROR(B846),"",bsolve($B846,$E$2,$E$4,$E$8,$E$9))</f>
        <v/>
      </c>
      <c r="E846" s="11" t="str">
        <f t="shared" si="120"/>
        <v/>
      </c>
      <c r="F846" s="11" t="str">
        <f t="shared" si="123"/>
        <v/>
      </c>
      <c r="G846" s="11" t="str">
        <f t="shared" si="124"/>
        <v/>
      </c>
      <c r="H846" s="19" t="str">
        <f t="shared" si="121"/>
        <v/>
      </c>
      <c r="I846" s="21">
        <f t="shared" si="125"/>
        <v>0</v>
      </c>
      <c r="J846" s="21" t="e">
        <f t="shared" si="122"/>
        <v>#N/A</v>
      </c>
      <c r="K846" s="21" t="str">
        <f t="shared" si="126"/>
        <v/>
      </c>
    </row>
    <row r="847" spans="2:11" x14ac:dyDescent="0.25">
      <c r="B847" s="9" t="e">
        <f t="shared" si="127"/>
        <v>#N/A</v>
      </c>
      <c r="C847" s="10" t="e">
        <f t="shared" si="119"/>
        <v>#N/A</v>
      </c>
      <c r="D847" s="11" t="str">
        <f>IF(ISERROR(B847),"",bsolve($B847,$E$2,$E$4,$E$8,$E$9))</f>
        <v/>
      </c>
      <c r="E847" s="11" t="str">
        <f t="shared" si="120"/>
        <v/>
      </c>
      <c r="F847" s="11" t="str">
        <f t="shared" si="123"/>
        <v/>
      </c>
      <c r="G847" s="11" t="str">
        <f t="shared" si="124"/>
        <v/>
      </c>
      <c r="H847" s="19" t="str">
        <f t="shared" si="121"/>
        <v/>
      </c>
      <c r="I847" s="21">
        <f t="shared" si="125"/>
        <v>0</v>
      </c>
      <c r="J847" s="21" t="e">
        <f t="shared" si="122"/>
        <v>#N/A</v>
      </c>
      <c r="K847" s="21" t="str">
        <f t="shared" si="126"/>
        <v/>
      </c>
    </row>
    <row r="848" spans="2:11" x14ac:dyDescent="0.25">
      <c r="B848" s="9" t="e">
        <f t="shared" si="127"/>
        <v>#N/A</v>
      </c>
      <c r="C848" s="10" t="e">
        <f t="shared" si="119"/>
        <v>#N/A</v>
      </c>
      <c r="D848" s="11" t="str">
        <f>IF(ISERROR(B848),"",bsolve($B848,$E$2,$E$4,$E$8,$E$9))</f>
        <v/>
      </c>
      <c r="E848" s="11" t="str">
        <f t="shared" si="120"/>
        <v/>
      </c>
      <c r="F848" s="11" t="str">
        <f t="shared" si="123"/>
        <v/>
      </c>
      <c r="G848" s="11" t="str">
        <f t="shared" si="124"/>
        <v/>
      </c>
      <c r="H848" s="19" t="str">
        <f t="shared" si="121"/>
        <v/>
      </c>
      <c r="I848" s="21">
        <f t="shared" si="125"/>
        <v>0</v>
      </c>
      <c r="J848" s="21" t="e">
        <f t="shared" si="122"/>
        <v>#N/A</v>
      </c>
      <c r="K848" s="21" t="str">
        <f t="shared" si="126"/>
        <v/>
      </c>
    </row>
    <row r="849" spans="2:11" x14ac:dyDescent="0.25">
      <c r="B849" s="9" t="e">
        <f t="shared" si="127"/>
        <v>#N/A</v>
      </c>
      <c r="C849" s="10" t="e">
        <f t="shared" si="119"/>
        <v>#N/A</v>
      </c>
      <c r="D849" s="11" t="str">
        <f>IF(ISERROR(B849),"",bsolve($B849,$E$2,$E$4,$E$8,$E$9))</f>
        <v/>
      </c>
      <c r="E849" s="11" t="str">
        <f t="shared" si="120"/>
        <v/>
      </c>
      <c r="F849" s="11" t="str">
        <f t="shared" si="123"/>
        <v/>
      </c>
      <c r="G849" s="11" t="str">
        <f t="shared" si="124"/>
        <v/>
      </c>
      <c r="H849" s="19" t="str">
        <f t="shared" si="121"/>
        <v/>
      </c>
      <c r="I849" s="21">
        <f t="shared" si="125"/>
        <v>0</v>
      </c>
      <c r="J849" s="21" t="e">
        <f t="shared" si="122"/>
        <v>#N/A</v>
      </c>
      <c r="K849" s="21" t="str">
        <f t="shared" si="126"/>
        <v/>
      </c>
    </row>
    <row r="850" spans="2:11" x14ac:dyDescent="0.25">
      <c r="B850" s="9" t="e">
        <f t="shared" si="127"/>
        <v>#N/A</v>
      </c>
      <c r="C850" s="10" t="e">
        <f t="shared" ref="C850:C913" si="128">IF(B850="","",100*B850/$E$2)</f>
        <v>#N/A</v>
      </c>
      <c r="D850" s="11" t="str">
        <f>IF(ISERROR(B850),"",bsolve($B850,$E$2,$E$4,$E$8,$E$9))</f>
        <v/>
      </c>
      <c r="E850" s="11" t="str">
        <f t="shared" ref="E850:E913" si="129">IF(ISERROR(B850),"",IF(AND($E$7&lt;$E$5,C850&gt;=($E$5*100)),D850,0))</f>
        <v/>
      </c>
      <c r="F850" s="11" t="str">
        <f t="shared" si="123"/>
        <v/>
      </c>
      <c r="G850" s="11" t="str">
        <f t="shared" si="124"/>
        <v/>
      </c>
      <c r="H850" s="19" t="str">
        <f t="shared" ref="H850:H913" si="130">IF(ISERROR(B850),"",100*((B850*(1-$E$9))+($E$2-B850)*$E$8)/$E$2)</f>
        <v/>
      </c>
      <c r="I850" s="21">
        <f t="shared" si="125"/>
        <v>0</v>
      </c>
      <c r="J850" s="21" t="e">
        <f t="shared" ref="J850:J913" si="131">IF(ISERROR(B850),NA(),IF(AND(H850&gt;=$E$5*100,B850/$E$2&lt;$E$5),H850,NA()))</f>
        <v>#N/A</v>
      </c>
      <c r="K850" s="21" t="str">
        <f t="shared" si="126"/>
        <v/>
      </c>
    </row>
    <row r="851" spans="2:11" x14ac:dyDescent="0.25">
      <c r="B851" s="9" t="e">
        <f t="shared" si="127"/>
        <v>#N/A</v>
      </c>
      <c r="C851" s="10" t="e">
        <f t="shared" si="128"/>
        <v>#N/A</v>
      </c>
      <c r="D851" s="11" t="str">
        <f>IF(ISERROR(B851),"",bsolve($B851,$E$2,$E$4,$E$8,$E$9))</f>
        <v/>
      </c>
      <c r="E851" s="11" t="str">
        <f t="shared" si="129"/>
        <v/>
      </c>
      <c r="F851" s="11" t="str">
        <f t="shared" ref="F851:F914" si="132">IF(ISERROR(B851),"",IF(AND($E$7&gt;=$E$5,C851&lt;($E$5*100)),D851,0))</f>
        <v/>
      </c>
      <c r="G851" s="11" t="str">
        <f t="shared" ref="G851:G914" si="133">IF(ISERROR(B851),"",IF(C851&gt;=$E$5*100,D851,""))</f>
        <v/>
      </c>
      <c r="H851" s="19" t="str">
        <f t="shared" si="130"/>
        <v/>
      </c>
      <c r="I851" s="21">
        <f t="shared" ref="I851:I914" si="134">IF(NOT(ISERROR(J851)),B851,0)</f>
        <v>0</v>
      </c>
      <c r="J851" s="21" t="e">
        <f t="shared" si="131"/>
        <v>#N/A</v>
      </c>
      <c r="K851" s="21" t="str">
        <f t="shared" ref="K851:K914" si="135">IF(AND(I851=0,I852&gt;0),B851,"")</f>
        <v/>
      </c>
    </row>
    <row r="852" spans="2:11" x14ac:dyDescent="0.25">
      <c r="B852" s="9" t="e">
        <f t="shared" ref="B852:B915" si="136">IF(ROW()-18&lt;=$E$2,B851+1,NA())</f>
        <v>#N/A</v>
      </c>
      <c r="C852" s="10" t="e">
        <f t="shared" si="128"/>
        <v>#N/A</v>
      </c>
      <c r="D852" s="11" t="str">
        <f>IF(ISERROR(B852),"",bsolve($B852,$E$2,$E$4,$E$8,$E$9))</f>
        <v/>
      </c>
      <c r="E852" s="11" t="str">
        <f t="shared" si="129"/>
        <v/>
      </c>
      <c r="F852" s="11" t="str">
        <f t="shared" si="132"/>
        <v/>
      </c>
      <c r="G852" s="11" t="str">
        <f t="shared" si="133"/>
        <v/>
      </c>
      <c r="H852" s="19" t="str">
        <f t="shared" si="130"/>
        <v/>
      </c>
      <c r="I852" s="21">
        <f t="shared" si="134"/>
        <v>0</v>
      </c>
      <c r="J852" s="21" t="e">
        <f t="shared" si="131"/>
        <v>#N/A</v>
      </c>
      <c r="K852" s="21" t="str">
        <f t="shared" si="135"/>
        <v/>
      </c>
    </row>
    <row r="853" spans="2:11" x14ac:dyDescent="0.25">
      <c r="B853" s="9" t="e">
        <f t="shared" si="136"/>
        <v>#N/A</v>
      </c>
      <c r="C853" s="10" t="e">
        <f t="shared" si="128"/>
        <v>#N/A</v>
      </c>
      <c r="D853" s="11" t="str">
        <f>IF(ISERROR(B853),"",bsolve($B853,$E$2,$E$4,$E$8,$E$9))</f>
        <v/>
      </c>
      <c r="E853" s="11" t="str">
        <f t="shared" si="129"/>
        <v/>
      </c>
      <c r="F853" s="11" t="str">
        <f t="shared" si="132"/>
        <v/>
      </c>
      <c r="G853" s="11" t="str">
        <f t="shared" si="133"/>
        <v/>
      </c>
      <c r="H853" s="19" t="str">
        <f t="shared" si="130"/>
        <v/>
      </c>
      <c r="I853" s="21">
        <f t="shared" si="134"/>
        <v>0</v>
      </c>
      <c r="J853" s="21" t="e">
        <f t="shared" si="131"/>
        <v>#N/A</v>
      </c>
      <c r="K853" s="21" t="str">
        <f t="shared" si="135"/>
        <v/>
      </c>
    </row>
    <row r="854" spans="2:11" x14ac:dyDescent="0.25">
      <c r="B854" s="9" t="e">
        <f t="shared" si="136"/>
        <v>#N/A</v>
      </c>
      <c r="C854" s="10" t="e">
        <f t="shared" si="128"/>
        <v>#N/A</v>
      </c>
      <c r="D854" s="11" t="str">
        <f>IF(ISERROR(B854),"",bsolve($B854,$E$2,$E$4,$E$8,$E$9))</f>
        <v/>
      </c>
      <c r="E854" s="11" t="str">
        <f t="shared" si="129"/>
        <v/>
      </c>
      <c r="F854" s="11" t="str">
        <f t="shared" si="132"/>
        <v/>
      </c>
      <c r="G854" s="11" t="str">
        <f t="shared" si="133"/>
        <v/>
      </c>
      <c r="H854" s="19" t="str">
        <f t="shared" si="130"/>
        <v/>
      </c>
      <c r="I854" s="21">
        <f t="shared" si="134"/>
        <v>0</v>
      </c>
      <c r="J854" s="21" t="e">
        <f t="shared" si="131"/>
        <v>#N/A</v>
      </c>
      <c r="K854" s="21" t="str">
        <f t="shared" si="135"/>
        <v/>
      </c>
    </row>
    <row r="855" spans="2:11" x14ac:dyDescent="0.25">
      <c r="B855" s="9" t="e">
        <f t="shared" si="136"/>
        <v>#N/A</v>
      </c>
      <c r="C855" s="10" t="e">
        <f t="shared" si="128"/>
        <v>#N/A</v>
      </c>
      <c r="D855" s="11" t="str">
        <f>IF(ISERROR(B855),"",bsolve($B855,$E$2,$E$4,$E$8,$E$9))</f>
        <v/>
      </c>
      <c r="E855" s="11" t="str">
        <f t="shared" si="129"/>
        <v/>
      </c>
      <c r="F855" s="11" t="str">
        <f t="shared" si="132"/>
        <v/>
      </c>
      <c r="G855" s="11" t="str">
        <f t="shared" si="133"/>
        <v/>
      </c>
      <c r="H855" s="19" t="str">
        <f t="shared" si="130"/>
        <v/>
      </c>
      <c r="I855" s="21">
        <f t="shared" si="134"/>
        <v>0</v>
      </c>
      <c r="J855" s="21" t="e">
        <f t="shared" si="131"/>
        <v>#N/A</v>
      </c>
      <c r="K855" s="21" t="str">
        <f t="shared" si="135"/>
        <v/>
      </c>
    </row>
    <row r="856" spans="2:11" x14ac:dyDescent="0.25">
      <c r="B856" s="9" t="e">
        <f t="shared" si="136"/>
        <v>#N/A</v>
      </c>
      <c r="C856" s="10" t="e">
        <f t="shared" si="128"/>
        <v>#N/A</v>
      </c>
      <c r="D856" s="11" t="str">
        <f>IF(ISERROR(B856),"",bsolve($B856,$E$2,$E$4,$E$8,$E$9))</f>
        <v/>
      </c>
      <c r="E856" s="11" t="str">
        <f t="shared" si="129"/>
        <v/>
      </c>
      <c r="F856" s="11" t="str">
        <f t="shared" si="132"/>
        <v/>
      </c>
      <c r="G856" s="11" t="str">
        <f t="shared" si="133"/>
        <v/>
      </c>
      <c r="H856" s="19" t="str">
        <f t="shared" si="130"/>
        <v/>
      </c>
      <c r="I856" s="21">
        <f t="shared" si="134"/>
        <v>0</v>
      </c>
      <c r="J856" s="21" t="e">
        <f t="shared" si="131"/>
        <v>#N/A</v>
      </c>
      <c r="K856" s="21" t="str">
        <f t="shared" si="135"/>
        <v/>
      </c>
    </row>
    <row r="857" spans="2:11" x14ac:dyDescent="0.25">
      <c r="B857" s="9" t="e">
        <f t="shared" si="136"/>
        <v>#N/A</v>
      </c>
      <c r="C857" s="10" t="e">
        <f t="shared" si="128"/>
        <v>#N/A</v>
      </c>
      <c r="D857" s="11" t="str">
        <f>IF(ISERROR(B857),"",bsolve($B857,$E$2,$E$4,$E$8,$E$9))</f>
        <v/>
      </c>
      <c r="E857" s="11" t="str">
        <f t="shared" si="129"/>
        <v/>
      </c>
      <c r="F857" s="11" t="str">
        <f t="shared" si="132"/>
        <v/>
      </c>
      <c r="G857" s="11" t="str">
        <f t="shared" si="133"/>
        <v/>
      </c>
      <c r="H857" s="19" t="str">
        <f t="shared" si="130"/>
        <v/>
      </c>
      <c r="I857" s="21">
        <f t="shared" si="134"/>
        <v>0</v>
      </c>
      <c r="J857" s="21" t="e">
        <f t="shared" si="131"/>
        <v>#N/A</v>
      </c>
      <c r="K857" s="21" t="str">
        <f t="shared" si="135"/>
        <v/>
      </c>
    </row>
    <row r="858" spans="2:11" x14ac:dyDescent="0.25">
      <c r="B858" s="9" t="e">
        <f t="shared" si="136"/>
        <v>#N/A</v>
      </c>
      <c r="C858" s="10" t="e">
        <f t="shared" si="128"/>
        <v>#N/A</v>
      </c>
      <c r="D858" s="11" t="str">
        <f>IF(ISERROR(B858),"",bsolve($B858,$E$2,$E$4,$E$8,$E$9))</f>
        <v/>
      </c>
      <c r="E858" s="11" t="str">
        <f t="shared" si="129"/>
        <v/>
      </c>
      <c r="F858" s="11" t="str">
        <f t="shared" si="132"/>
        <v/>
      </c>
      <c r="G858" s="11" t="str">
        <f t="shared" si="133"/>
        <v/>
      </c>
      <c r="H858" s="19" t="str">
        <f t="shared" si="130"/>
        <v/>
      </c>
      <c r="I858" s="21">
        <f t="shared" si="134"/>
        <v>0</v>
      </c>
      <c r="J858" s="21" t="e">
        <f t="shared" si="131"/>
        <v>#N/A</v>
      </c>
      <c r="K858" s="21" t="str">
        <f t="shared" si="135"/>
        <v/>
      </c>
    </row>
    <row r="859" spans="2:11" x14ac:dyDescent="0.25">
      <c r="B859" s="9" t="e">
        <f t="shared" si="136"/>
        <v>#N/A</v>
      </c>
      <c r="C859" s="10" t="e">
        <f t="shared" si="128"/>
        <v>#N/A</v>
      </c>
      <c r="D859" s="11" t="str">
        <f>IF(ISERROR(B859),"",bsolve($B859,$E$2,$E$4,$E$8,$E$9))</f>
        <v/>
      </c>
      <c r="E859" s="11" t="str">
        <f t="shared" si="129"/>
        <v/>
      </c>
      <c r="F859" s="11" t="str">
        <f t="shared" si="132"/>
        <v/>
      </c>
      <c r="G859" s="11" t="str">
        <f t="shared" si="133"/>
        <v/>
      </c>
      <c r="H859" s="19" t="str">
        <f t="shared" si="130"/>
        <v/>
      </c>
      <c r="I859" s="21">
        <f t="shared" si="134"/>
        <v>0</v>
      </c>
      <c r="J859" s="21" t="e">
        <f t="shared" si="131"/>
        <v>#N/A</v>
      </c>
      <c r="K859" s="21" t="str">
        <f t="shared" si="135"/>
        <v/>
      </c>
    </row>
    <row r="860" spans="2:11" x14ac:dyDescent="0.25">
      <c r="B860" s="9" t="e">
        <f t="shared" si="136"/>
        <v>#N/A</v>
      </c>
      <c r="C860" s="10" t="e">
        <f t="shared" si="128"/>
        <v>#N/A</v>
      </c>
      <c r="D860" s="11" t="str">
        <f>IF(ISERROR(B860),"",bsolve($B860,$E$2,$E$4,$E$8,$E$9))</f>
        <v/>
      </c>
      <c r="E860" s="11" t="str">
        <f t="shared" si="129"/>
        <v/>
      </c>
      <c r="F860" s="11" t="str">
        <f t="shared" si="132"/>
        <v/>
      </c>
      <c r="G860" s="11" t="str">
        <f t="shared" si="133"/>
        <v/>
      </c>
      <c r="H860" s="19" t="str">
        <f t="shared" si="130"/>
        <v/>
      </c>
      <c r="I860" s="21">
        <f t="shared" si="134"/>
        <v>0</v>
      </c>
      <c r="J860" s="21" t="e">
        <f t="shared" si="131"/>
        <v>#N/A</v>
      </c>
      <c r="K860" s="21" t="str">
        <f t="shared" si="135"/>
        <v/>
      </c>
    </row>
    <row r="861" spans="2:11" x14ac:dyDescent="0.25">
      <c r="B861" s="9" t="e">
        <f t="shared" si="136"/>
        <v>#N/A</v>
      </c>
      <c r="C861" s="10" t="e">
        <f t="shared" si="128"/>
        <v>#N/A</v>
      </c>
      <c r="D861" s="11" t="str">
        <f>IF(ISERROR(B861),"",bsolve($B861,$E$2,$E$4,$E$8,$E$9))</f>
        <v/>
      </c>
      <c r="E861" s="11" t="str">
        <f t="shared" si="129"/>
        <v/>
      </c>
      <c r="F861" s="11" t="str">
        <f t="shared" si="132"/>
        <v/>
      </c>
      <c r="G861" s="11" t="str">
        <f t="shared" si="133"/>
        <v/>
      </c>
      <c r="H861" s="19" t="str">
        <f t="shared" si="130"/>
        <v/>
      </c>
      <c r="I861" s="21">
        <f t="shared" si="134"/>
        <v>0</v>
      </c>
      <c r="J861" s="21" t="e">
        <f t="shared" si="131"/>
        <v>#N/A</v>
      </c>
      <c r="K861" s="21" t="str">
        <f t="shared" si="135"/>
        <v/>
      </c>
    </row>
    <row r="862" spans="2:11" x14ac:dyDescent="0.25">
      <c r="B862" s="9" t="e">
        <f t="shared" si="136"/>
        <v>#N/A</v>
      </c>
      <c r="C862" s="10" t="e">
        <f t="shared" si="128"/>
        <v>#N/A</v>
      </c>
      <c r="D862" s="11" t="str">
        <f>IF(ISERROR(B862),"",bsolve($B862,$E$2,$E$4,$E$8,$E$9))</f>
        <v/>
      </c>
      <c r="E862" s="11" t="str">
        <f t="shared" si="129"/>
        <v/>
      </c>
      <c r="F862" s="11" t="str">
        <f t="shared" si="132"/>
        <v/>
      </c>
      <c r="G862" s="11" t="str">
        <f t="shared" si="133"/>
        <v/>
      </c>
      <c r="H862" s="19" t="str">
        <f t="shared" si="130"/>
        <v/>
      </c>
      <c r="I862" s="21">
        <f t="shared" si="134"/>
        <v>0</v>
      </c>
      <c r="J862" s="21" t="e">
        <f t="shared" si="131"/>
        <v>#N/A</v>
      </c>
      <c r="K862" s="21" t="str">
        <f t="shared" si="135"/>
        <v/>
      </c>
    </row>
    <row r="863" spans="2:11" x14ac:dyDescent="0.25">
      <c r="B863" s="9" t="e">
        <f t="shared" si="136"/>
        <v>#N/A</v>
      </c>
      <c r="C863" s="10" t="e">
        <f t="shared" si="128"/>
        <v>#N/A</v>
      </c>
      <c r="D863" s="11" t="str">
        <f>IF(ISERROR(B863),"",bsolve($B863,$E$2,$E$4,$E$8,$E$9))</f>
        <v/>
      </c>
      <c r="E863" s="11" t="str">
        <f t="shared" si="129"/>
        <v/>
      </c>
      <c r="F863" s="11" t="str">
        <f t="shared" si="132"/>
        <v/>
      </c>
      <c r="G863" s="11" t="str">
        <f t="shared" si="133"/>
        <v/>
      </c>
      <c r="H863" s="19" t="str">
        <f t="shared" si="130"/>
        <v/>
      </c>
      <c r="I863" s="21">
        <f t="shared" si="134"/>
        <v>0</v>
      </c>
      <c r="J863" s="21" t="e">
        <f t="shared" si="131"/>
        <v>#N/A</v>
      </c>
      <c r="K863" s="21" t="str">
        <f t="shared" si="135"/>
        <v/>
      </c>
    </row>
    <row r="864" spans="2:11" x14ac:dyDescent="0.25">
      <c r="B864" s="9" t="e">
        <f t="shared" si="136"/>
        <v>#N/A</v>
      </c>
      <c r="C864" s="10" t="e">
        <f t="shared" si="128"/>
        <v>#N/A</v>
      </c>
      <c r="D864" s="11" t="str">
        <f>IF(ISERROR(B864),"",bsolve($B864,$E$2,$E$4,$E$8,$E$9))</f>
        <v/>
      </c>
      <c r="E864" s="11" t="str">
        <f t="shared" si="129"/>
        <v/>
      </c>
      <c r="F864" s="11" t="str">
        <f t="shared" si="132"/>
        <v/>
      </c>
      <c r="G864" s="11" t="str">
        <f t="shared" si="133"/>
        <v/>
      </c>
      <c r="H864" s="19" t="str">
        <f t="shared" si="130"/>
        <v/>
      </c>
      <c r="I864" s="21">
        <f t="shared" si="134"/>
        <v>0</v>
      </c>
      <c r="J864" s="21" t="e">
        <f t="shared" si="131"/>
        <v>#N/A</v>
      </c>
      <c r="K864" s="21" t="str">
        <f t="shared" si="135"/>
        <v/>
      </c>
    </row>
    <row r="865" spans="2:11" x14ac:dyDescent="0.25">
      <c r="B865" s="9" t="e">
        <f t="shared" si="136"/>
        <v>#N/A</v>
      </c>
      <c r="C865" s="10" t="e">
        <f t="shared" si="128"/>
        <v>#N/A</v>
      </c>
      <c r="D865" s="11" t="str">
        <f>IF(ISERROR(B865),"",bsolve($B865,$E$2,$E$4,$E$8,$E$9))</f>
        <v/>
      </c>
      <c r="E865" s="11" t="str">
        <f t="shared" si="129"/>
        <v/>
      </c>
      <c r="F865" s="11" t="str">
        <f t="shared" si="132"/>
        <v/>
      </c>
      <c r="G865" s="11" t="str">
        <f t="shared" si="133"/>
        <v/>
      </c>
      <c r="H865" s="19" t="str">
        <f t="shared" si="130"/>
        <v/>
      </c>
      <c r="I865" s="21">
        <f t="shared" si="134"/>
        <v>0</v>
      </c>
      <c r="J865" s="21" t="e">
        <f t="shared" si="131"/>
        <v>#N/A</v>
      </c>
      <c r="K865" s="21" t="str">
        <f t="shared" si="135"/>
        <v/>
      </c>
    </row>
    <row r="866" spans="2:11" x14ac:dyDescent="0.25">
      <c r="B866" s="9" t="e">
        <f t="shared" si="136"/>
        <v>#N/A</v>
      </c>
      <c r="C866" s="10" t="e">
        <f t="shared" si="128"/>
        <v>#N/A</v>
      </c>
      <c r="D866" s="11" t="str">
        <f>IF(ISERROR(B866),"",bsolve($B866,$E$2,$E$4,$E$8,$E$9))</f>
        <v/>
      </c>
      <c r="E866" s="11" t="str">
        <f t="shared" si="129"/>
        <v/>
      </c>
      <c r="F866" s="11" t="str">
        <f t="shared" si="132"/>
        <v/>
      </c>
      <c r="G866" s="11" t="str">
        <f t="shared" si="133"/>
        <v/>
      </c>
      <c r="H866" s="19" t="str">
        <f t="shared" si="130"/>
        <v/>
      </c>
      <c r="I866" s="21">
        <f t="shared" si="134"/>
        <v>0</v>
      </c>
      <c r="J866" s="21" t="e">
        <f t="shared" si="131"/>
        <v>#N/A</v>
      </c>
      <c r="K866" s="21" t="str">
        <f t="shared" si="135"/>
        <v/>
      </c>
    </row>
    <row r="867" spans="2:11" x14ac:dyDescent="0.25">
      <c r="B867" s="9" t="e">
        <f t="shared" si="136"/>
        <v>#N/A</v>
      </c>
      <c r="C867" s="10" t="e">
        <f t="shared" si="128"/>
        <v>#N/A</v>
      </c>
      <c r="D867" s="11" t="str">
        <f>IF(ISERROR(B867),"",bsolve($B867,$E$2,$E$4,$E$8,$E$9))</f>
        <v/>
      </c>
      <c r="E867" s="11" t="str">
        <f t="shared" si="129"/>
        <v/>
      </c>
      <c r="F867" s="11" t="str">
        <f t="shared" si="132"/>
        <v/>
      </c>
      <c r="G867" s="11" t="str">
        <f t="shared" si="133"/>
        <v/>
      </c>
      <c r="H867" s="19" t="str">
        <f t="shared" si="130"/>
        <v/>
      </c>
      <c r="I867" s="21">
        <f t="shared" si="134"/>
        <v>0</v>
      </c>
      <c r="J867" s="21" t="e">
        <f t="shared" si="131"/>
        <v>#N/A</v>
      </c>
      <c r="K867" s="21" t="str">
        <f t="shared" si="135"/>
        <v/>
      </c>
    </row>
    <row r="868" spans="2:11" x14ac:dyDescent="0.25">
      <c r="B868" s="9" t="e">
        <f t="shared" si="136"/>
        <v>#N/A</v>
      </c>
      <c r="C868" s="10" t="e">
        <f t="shared" si="128"/>
        <v>#N/A</v>
      </c>
      <c r="D868" s="11" t="str">
        <f>IF(ISERROR(B868),"",bsolve($B868,$E$2,$E$4,$E$8,$E$9))</f>
        <v/>
      </c>
      <c r="E868" s="11" t="str">
        <f t="shared" si="129"/>
        <v/>
      </c>
      <c r="F868" s="11" t="str">
        <f t="shared" si="132"/>
        <v/>
      </c>
      <c r="G868" s="11" t="str">
        <f t="shared" si="133"/>
        <v/>
      </c>
      <c r="H868" s="19" t="str">
        <f t="shared" si="130"/>
        <v/>
      </c>
      <c r="I868" s="21">
        <f t="shared" si="134"/>
        <v>0</v>
      </c>
      <c r="J868" s="21" t="e">
        <f t="shared" si="131"/>
        <v>#N/A</v>
      </c>
      <c r="K868" s="21" t="str">
        <f t="shared" si="135"/>
        <v/>
      </c>
    </row>
    <row r="869" spans="2:11" x14ac:dyDescent="0.25">
      <c r="B869" s="9" t="e">
        <f t="shared" si="136"/>
        <v>#N/A</v>
      </c>
      <c r="C869" s="10" t="e">
        <f t="shared" si="128"/>
        <v>#N/A</v>
      </c>
      <c r="D869" s="11" t="str">
        <f>IF(ISERROR(B869),"",bsolve($B869,$E$2,$E$4,$E$8,$E$9))</f>
        <v/>
      </c>
      <c r="E869" s="11" t="str">
        <f t="shared" si="129"/>
        <v/>
      </c>
      <c r="F869" s="11" t="str">
        <f t="shared" si="132"/>
        <v/>
      </c>
      <c r="G869" s="11" t="str">
        <f t="shared" si="133"/>
        <v/>
      </c>
      <c r="H869" s="19" t="str">
        <f t="shared" si="130"/>
        <v/>
      </c>
      <c r="I869" s="21">
        <f t="shared" si="134"/>
        <v>0</v>
      </c>
      <c r="J869" s="21" t="e">
        <f t="shared" si="131"/>
        <v>#N/A</v>
      </c>
      <c r="K869" s="21" t="str">
        <f t="shared" si="135"/>
        <v/>
      </c>
    </row>
    <row r="870" spans="2:11" x14ac:dyDescent="0.25">
      <c r="B870" s="9" t="e">
        <f t="shared" si="136"/>
        <v>#N/A</v>
      </c>
      <c r="C870" s="10" t="e">
        <f t="shared" si="128"/>
        <v>#N/A</v>
      </c>
      <c r="D870" s="11" t="str">
        <f>IF(ISERROR(B870),"",bsolve($B870,$E$2,$E$4,$E$8,$E$9))</f>
        <v/>
      </c>
      <c r="E870" s="11" t="str">
        <f t="shared" si="129"/>
        <v/>
      </c>
      <c r="F870" s="11" t="str">
        <f t="shared" si="132"/>
        <v/>
      </c>
      <c r="G870" s="11" t="str">
        <f t="shared" si="133"/>
        <v/>
      </c>
      <c r="H870" s="19" t="str">
        <f t="shared" si="130"/>
        <v/>
      </c>
      <c r="I870" s="21">
        <f t="shared" si="134"/>
        <v>0</v>
      </c>
      <c r="J870" s="21" t="e">
        <f t="shared" si="131"/>
        <v>#N/A</v>
      </c>
      <c r="K870" s="21" t="str">
        <f t="shared" si="135"/>
        <v/>
      </c>
    </row>
    <row r="871" spans="2:11" x14ac:dyDescent="0.25">
      <c r="B871" s="9" t="e">
        <f t="shared" si="136"/>
        <v>#N/A</v>
      </c>
      <c r="C871" s="10" t="e">
        <f t="shared" si="128"/>
        <v>#N/A</v>
      </c>
      <c r="D871" s="11" t="str">
        <f>IF(ISERROR(B871),"",bsolve($B871,$E$2,$E$4,$E$8,$E$9))</f>
        <v/>
      </c>
      <c r="E871" s="11" t="str">
        <f t="shared" si="129"/>
        <v/>
      </c>
      <c r="F871" s="11" t="str">
        <f t="shared" si="132"/>
        <v/>
      </c>
      <c r="G871" s="11" t="str">
        <f t="shared" si="133"/>
        <v/>
      </c>
      <c r="H871" s="19" t="str">
        <f t="shared" si="130"/>
        <v/>
      </c>
      <c r="I871" s="21">
        <f t="shared" si="134"/>
        <v>0</v>
      </c>
      <c r="J871" s="21" t="e">
        <f t="shared" si="131"/>
        <v>#N/A</v>
      </c>
      <c r="K871" s="21" t="str">
        <f t="shared" si="135"/>
        <v/>
      </c>
    </row>
    <row r="872" spans="2:11" x14ac:dyDescent="0.25">
      <c r="B872" s="9" t="e">
        <f t="shared" si="136"/>
        <v>#N/A</v>
      </c>
      <c r="C872" s="10" t="e">
        <f t="shared" si="128"/>
        <v>#N/A</v>
      </c>
      <c r="D872" s="11" t="str">
        <f>IF(ISERROR(B872),"",bsolve($B872,$E$2,$E$4,$E$8,$E$9))</f>
        <v/>
      </c>
      <c r="E872" s="11" t="str">
        <f t="shared" si="129"/>
        <v/>
      </c>
      <c r="F872" s="11" t="str">
        <f t="shared" si="132"/>
        <v/>
      </c>
      <c r="G872" s="11" t="str">
        <f t="shared" si="133"/>
        <v/>
      </c>
      <c r="H872" s="19" t="str">
        <f t="shared" si="130"/>
        <v/>
      </c>
      <c r="I872" s="21">
        <f t="shared" si="134"/>
        <v>0</v>
      </c>
      <c r="J872" s="21" t="e">
        <f t="shared" si="131"/>
        <v>#N/A</v>
      </c>
      <c r="K872" s="21" t="str">
        <f t="shared" si="135"/>
        <v/>
      </c>
    </row>
    <row r="873" spans="2:11" x14ac:dyDescent="0.25">
      <c r="B873" s="9" t="e">
        <f t="shared" si="136"/>
        <v>#N/A</v>
      </c>
      <c r="C873" s="10" t="e">
        <f t="shared" si="128"/>
        <v>#N/A</v>
      </c>
      <c r="D873" s="11" t="str">
        <f>IF(ISERROR(B873),"",bsolve($B873,$E$2,$E$4,$E$8,$E$9))</f>
        <v/>
      </c>
      <c r="E873" s="11" t="str">
        <f t="shared" si="129"/>
        <v/>
      </c>
      <c r="F873" s="11" t="str">
        <f t="shared" si="132"/>
        <v/>
      </c>
      <c r="G873" s="11" t="str">
        <f t="shared" si="133"/>
        <v/>
      </c>
      <c r="H873" s="19" t="str">
        <f t="shared" si="130"/>
        <v/>
      </c>
      <c r="I873" s="21">
        <f t="shared" si="134"/>
        <v>0</v>
      </c>
      <c r="J873" s="21" t="e">
        <f t="shared" si="131"/>
        <v>#N/A</v>
      </c>
      <c r="K873" s="21" t="str">
        <f t="shared" si="135"/>
        <v/>
      </c>
    </row>
    <row r="874" spans="2:11" x14ac:dyDescent="0.25">
      <c r="B874" s="9" t="e">
        <f t="shared" si="136"/>
        <v>#N/A</v>
      </c>
      <c r="C874" s="10" t="e">
        <f t="shared" si="128"/>
        <v>#N/A</v>
      </c>
      <c r="D874" s="11" t="str">
        <f>IF(ISERROR(B874),"",bsolve($B874,$E$2,$E$4,$E$8,$E$9))</f>
        <v/>
      </c>
      <c r="E874" s="11" t="str">
        <f t="shared" si="129"/>
        <v/>
      </c>
      <c r="F874" s="11" t="str">
        <f t="shared" si="132"/>
        <v/>
      </c>
      <c r="G874" s="11" t="str">
        <f t="shared" si="133"/>
        <v/>
      </c>
      <c r="H874" s="19" t="str">
        <f t="shared" si="130"/>
        <v/>
      </c>
      <c r="I874" s="21">
        <f t="shared" si="134"/>
        <v>0</v>
      </c>
      <c r="J874" s="21" t="e">
        <f t="shared" si="131"/>
        <v>#N/A</v>
      </c>
      <c r="K874" s="21" t="str">
        <f t="shared" si="135"/>
        <v/>
      </c>
    </row>
    <row r="875" spans="2:11" x14ac:dyDescent="0.25">
      <c r="B875" s="9" t="e">
        <f t="shared" si="136"/>
        <v>#N/A</v>
      </c>
      <c r="C875" s="10" t="e">
        <f t="shared" si="128"/>
        <v>#N/A</v>
      </c>
      <c r="D875" s="11" t="str">
        <f>IF(ISERROR(B875),"",bsolve($B875,$E$2,$E$4,$E$8,$E$9))</f>
        <v/>
      </c>
      <c r="E875" s="11" t="str">
        <f t="shared" si="129"/>
        <v/>
      </c>
      <c r="F875" s="11" t="str">
        <f t="shared" si="132"/>
        <v/>
      </c>
      <c r="G875" s="11" t="str">
        <f t="shared" si="133"/>
        <v/>
      </c>
      <c r="H875" s="19" t="str">
        <f t="shared" si="130"/>
        <v/>
      </c>
      <c r="I875" s="21">
        <f t="shared" si="134"/>
        <v>0</v>
      </c>
      <c r="J875" s="21" t="e">
        <f t="shared" si="131"/>
        <v>#N/A</v>
      </c>
      <c r="K875" s="21" t="str">
        <f t="shared" si="135"/>
        <v/>
      </c>
    </row>
    <row r="876" spans="2:11" x14ac:dyDescent="0.25">
      <c r="B876" s="9" t="e">
        <f t="shared" si="136"/>
        <v>#N/A</v>
      </c>
      <c r="C876" s="10" t="e">
        <f t="shared" si="128"/>
        <v>#N/A</v>
      </c>
      <c r="D876" s="11" t="str">
        <f>IF(ISERROR(B876),"",bsolve($B876,$E$2,$E$4,$E$8,$E$9))</f>
        <v/>
      </c>
      <c r="E876" s="11" t="str">
        <f t="shared" si="129"/>
        <v/>
      </c>
      <c r="F876" s="11" t="str">
        <f t="shared" si="132"/>
        <v/>
      </c>
      <c r="G876" s="11" t="str">
        <f t="shared" si="133"/>
        <v/>
      </c>
      <c r="H876" s="19" t="str">
        <f t="shared" si="130"/>
        <v/>
      </c>
      <c r="I876" s="21">
        <f t="shared" si="134"/>
        <v>0</v>
      </c>
      <c r="J876" s="21" t="e">
        <f t="shared" si="131"/>
        <v>#N/A</v>
      </c>
      <c r="K876" s="21" t="str">
        <f t="shared" si="135"/>
        <v/>
      </c>
    </row>
    <row r="877" spans="2:11" x14ac:dyDescent="0.25">
      <c r="B877" s="9" t="e">
        <f t="shared" si="136"/>
        <v>#N/A</v>
      </c>
      <c r="C877" s="10" t="e">
        <f t="shared" si="128"/>
        <v>#N/A</v>
      </c>
      <c r="D877" s="11" t="str">
        <f>IF(ISERROR(B877),"",bsolve($B877,$E$2,$E$4,$E$8,$E$9))</f>
        <v/>
      </c>
      <c r="E877" s="11" t="str">
        <f t="shared" si="129"/>
        <v/>
      </c>
      <c r="F877" s="11" t="str">
        <f t="shared" si="132"/>
        <v/>
      </c>
      <c r="G877" s="11" t="str">
        <f t="shared" si="133"/>
        <v/>
      </c>
      <c r="H877" s="19" t="str">
        <f t="shared" si="130"/>
        <v/>
      </c>
      <c r="I877" s="21">
        <f t="shared" si="134"/>
        <v>0</v>
      </c>
      <c r="J877" s="21" t="e">
        <f t="shared" si="131"/>
        <v>#N/A</v>
      </c>
      <c r="K877" s="21" t="str">
        <f t="shared" si="135"/>
        <v/>
      </c>
    </row>
    <row r="878" spans="2:11" x14ac:dyDescent="0.25">
      <c r="B878" s="9" t="e">
        <f t="shared" si="136"/>
        <v>#N/A</v>
      </c>
      <c r="C878" s="10" t="e">
        <f t="shared" si="128"/>
        <v>#N/A</v>
      </c>
      <c r="D878" s="11" t="str">
        <f>IF(ISERROR(B878),"",bsolve($B878,$E$2,$E$4,$E$8,$E$9))</f>
        <v/>
      </c>
      <c r="E878" s="11" t="str">
        <f t="shared" si="129"/>
        <v/>
      </c>
      <c r="F878" s="11" t="str">
        <f t="shared" si="132"/>
        <v/>
      </c>
      <c r="G878" s="11" t="str">
        <f t="shared" si="133"/>
        <v/>
      </c>
      <c r="H878" s="19" t="str">
        <f t="shared" si="130"/>
        <v/>
      </c>
      <c r="I878" s="21">
        <f t="shared" si="134"/>
        <v>0</v>
      </c>
      <c r="J878" s="21" t="e">
        <f t="shared" si="131"/>
        <v>#N/A</v>
      </c>
      <c r="K878" s="21" t="str">
        <f t="shared" si="135"/>
        <v/>
      </c>
    </row>
    <row r="879" spans="2:11" x14ac:dyDescent="0.25">
      <c r="B879" s="9" t="e">
        <f t="shared" si="136"/>
        <v>#N/A</v>
      </c>
      <c r="C879" s="10" t="e">
        <f t="shared" si="128"/>
        <v>#N/A</v>
      </c>
      <c r="D879" s="11" t="str">
        <f>IF(ISERROR(B879),"",bsolve($B879,$E$2,$E$4,$E$8,$E$9))</f>
        <v/>
      </c>
      <c r="E879" s="11" t="str">
        <f t="shared" si="129"/>
        <v/>
      </c>
      <c r="F879" s="11" t="str">
        <f t="shared" si="132"/>
        <v/>
      </c>
      <c r="G879" s="11" t="str">
        <f t="shared" si="133"/>
        <v/>
      </c>
      <c r="H879" s="19" t="str">
        <f t="shared" si="130"/>
        <v/>
      </c>
      <c r="I879" s="21">
        <f t="shared" si="134"/>
        <v>0</v>
      </c>
      <c r="J879" s="21" t="e">
        <f t="shared" si="131"/>
        <v>#N/A</v>
      </c>
      <c r="K879" s="21" t="str">
        <f t="shared" si="135"/>
        <v/>
      </c>
    </row>
    <row r="880" spans="2:11" x14ac:dyDescent="0.25">
      <c r="B880" s="9" t="e">
        <f t="shared" si="136"/>
        <v>#N/A</v>
      </c>
      <c r="C880" s="10" t="e">
        <f t="shared" si="128"/>
        <v>#N/A</v>
      </c>
      <c r="D880" s="11" t="str">
        <f>IF(ISERROR(B880),"",bsolve($B880,$E$2,$E$4,$E$8,$E$9))</f>
        <v/>
      </c>
      <c r="E880" s="11" t="str">
        <f t="shared" si="129"/>
        <v/>
      </c>
      <c r="F880" s="11" t="str">
        <f t="shared" si="132"/>
        <v/>
      </c>
      <c r="G880" s="11" t="str">
        <f t="shared" si="133"/>
        <v/>
      </c>
      <c r="H880" s="19" t="str">
        <f t="shared" si="130"/>
        <v/>
      </c>
      <c r="I880" s="21">
        <f t="shared" si="134"/>
        <v>0</v>
      </c>
      <c r="J880" s="21" t="e">
        <f t="shared" si="131"/>
        <v>#N/A</v>
      </c>
      <c r="K880" s="21" t="str">
        <f t="shared" si="135"/>
        <v/>
      </c>
    </row>
    <row r="881" spans="2:11" x14ac:dyDescent="0.25">
      <c r="B881" s="9" t="e">
        <f t="shared" si="136"/>
        <v>#N/A</v>
      </c>
      <c r="C881" s="10" t="e">
        <f t="shared" si="128"/>
        <v>#N/A</v>
      </c>
      <c r="D881" s="11" t="str">
        <f>IF(ISERROR(B881),"",bsolve($B881,$E$2,$E$4,$E$8,$E$9))</f>
        <v/>
      </c>
      <c r="E881" s="11" t="str">
        <f t="shared" si="129"/>
        <v/>
      </c>
      <c r="F881" s="11" t="str">
        <f t="shared" si="132"/>
        <v/>
      </c>
      <c r="G881" s="11" t="str">
        <f t="shared" si="133"/>
        <v/>
      </c>
      <c r="H881" s="19" t="str">
        <f t="shared" si="130"/>
        <v/>
      </c>
      <c r="I881" s="21">
        <f t="shared" si="134"/>
        <v>0</v>
      </c>
      <c r="J881" s="21" t="e">
        <f t="shared" si="131"/>
        <v>#N/A</v>
      </c>
      <c r="K881" s="21" t="str">
        <f t="shared" si="135"/>
        <v/>
      </c>
    </row>
    <row r="882" spans="2:11" x14ac:dyDescent="0.25">
      <c r="B882" s="9" t="e">
        <f t="shared" si="136"/>
        <v>#N/A</v>
      </c>
      <c r="C882" s="10" t="e">
        <f t="shared" si="128"/>
        <v>#N/A</v>
      </c>
      <c r="D882" s="11" t="str">
        <f>IF(ISERROR(B882),"",bsolve($B882,$E$2,$E$4,$E$8,$E$9))</f>
        <v/>
      </c>
      <c r="E882" s="11" t="str">
        <f t="shared" si="129"/>
        <v/>
      </c>
      <c r="F882" s="11" t="str">
        <f t="shared" si="132"/>
        <v/>
      </c>
      <c r="G882" s="11" t="str">
        <f t="shared" si="133"/>
        <v/>
      </c>
      <c r="H882" s="19" t="str">
        <f t="shared" si="130"/>
        <v/>
      </c>
      <c r="I882" s="21">
        <f t="shared" si="134"/>
        <v>0</v>
      </c>
      <c r="J882" s="21" t="e">
        <f t="shared" si="131"/>
        <v>#N/A</v>
      </c>
      <c r="K882" s="21" t="str">
        <f t="shared" si="135"/>
        <v/>
      </c>
    </row>
    <row r="883" spans="2:11" x14ac:dyDescent="0.25">
      <c r="B883" s="9" t="e">
        <f t="shared" si="136"/>
        <v>#N/A</v>
      </c>
      <c r="C883" s="10" t="e">
        <f t="shared" si="128"/>
        <v>#N/A</v>
      </c>
      <c r="D883" s="11" t="str">
        <f>IF(ISERROR(B883),"",bsolve($B883,$E$2,$E$4,$E$8,$E$9))</f>
        <v/>
      </c>
      <c r="E883" s="11" t="str">
        <f t="shared" si="129"/>
        <v/>
      </c>
      <c r="F883" s="11" t="str">
        <f t="shared" si="132"/>
        <v/>
      </c>
      <c r="G883" s="11" t="str">
        <f t="shared" si="133"/>
        <v/>
      </c>
      <c r="H883" s="19" t="str">
        <f t="shared" si="130"/>
        <v/>
      </c>
      <c r="I883" s="21">
        <f t="shared" si="134"/>
        <v>0</v>
      </c>
      <c r="J883" s="21" t="e">
        <f t="shared" si="131"/>
        <v>#N/A</v>
      </c>
      <c r="K883" s="21" t="str">
        <f t="shared" si="135"/>
        <v/>
      </c>
    </row>
    <row r="884" spans="2:11" x14ac:dyDescent="0.25">
      <c r="B884" s="9" t="e">
        <f t="shared" si="136"/>
        <v>#N/A</v>
      </c>
      <c r="C884" s="10" t="e">
        <f t="shared" si="128"/>
        <v>#N/A</v>
      </c>
      <c r="D884" s="11" t="str">
        <f>IF(ISERROR(B884),"",bsolve($B884,$E$2,$E$4,$E$8,$E$9))</f>
        <v/>
      </c>
      <c r="E884" s="11" t="str">
        <f t="shared" si="129"/>
        <v/>
      </c>
      <c r="F884" s="11" t="str">
        <f t="shared" si="132"/>
        <v/>
      </c>
      <c r="G884" s="11" t="str">
        <f t="shared" si="133"/>
        <v/>
      </c>
      <c r="H884" s="19" t="str">
        <f t="shared" si="130"/>
        <v/>
      </c>
      <c r="I884" s="21">
        <f t="shared" si="134"/>
        <v>0</v>
      </c>
      <c r="J884" s="21" t="e">
        <f t="shared" si="131"/>
        <v>#N/A</v>
      </c>
      <c r="K884" s="21" t="str">
        <f t="shared" si="135"/>
        <v/>
      </c>
    </row>
    <row r="885" spans="2:11" x14ac:dyDescent="0.25">
      <c r="B885" s="9" t="e">
        <f t="shared" si="136"/>
        <v>#N/A</v>
      </c>
      <c r="C885" s="10" t="e">
        <f t="shared" si="128"/>
        <v>#N/A</v>
      </c>
      <c r="D885" s="11" t="str">
        <f>IF(ISERROR(B885),"",bsolve($B885,$E$2,$E$4,$E$8,$E$9))</f>
        <v/>
      </c>
      <c r="E885" s="11" t="str">
        <f t="shared" si="129"/>
        <v/>
      </c>
      <c r="F885" s="11" t="str">
        <f t="shared" si="132"/>
        <v/>
      </c>
      <c r="G885" s="11" t="str">
        <f t="shared" si="133"/>
        <v/>
      </c>
      <c r="H885" s="19" t="str">
        <f t="shared" si="130"/>
        <v/>
      </c>
      <c r="I885" s="21">
        <f t="shared" si="134"/>
        <v>0</v>
      </c>
      <c r="J885" s="21" t="e">
        <f t="shared" si="131"/>
        <v>#N/A</v>
      </c>
      <c r="K885" s="21" t="str">
        <f t="shared" si="135"/>
        <v/>
      </c>
    </row>
    <row r="886" spans="2:11" x14ac:dyDescent="0.25">
      <c r="B886" s="9" t="e">
        <f t="shared" si="136"/>
        <v>#N/A</v>
      </c>
      <c r="C886" s="10" t="e">
        <f t="shared" si="128"/>
        <v>#N/A</v>
      </c>
      <c r="D886" s="11" t="str">
        <f>IF(ISERROR(B886),"",bsolve($B886,$E$2,$E$4,$E$8,$E$9))</f>
        <v/>
      </c>
      <c r="E886" s="11" t="str">
        <f t="shared" si="129"/>
        <v/>
      </c>
      <c r="F886" s="11" t="str">
        <f t="shared" si="132"/>
        <v/>
      </c>
      <c r="G886" s="11" t="str">
        <f t="shared" si="133"/>
        <v/>
      </c>
      <c r="H886" s="19" t="str">
        <f t="shared" si="130"/>
        <v/>
      </c>
      <c r="I886" s="21">
        <f t="shared" si="134"/>
        <v>0</v>
      </c>
      <c r="J886" s="21" t="e">
        <f t="shared" si="131"/>
        <v>#N/A</v>
      </c>
      <c r="K886" s="21" t="str">
        <f t="shared" si="135"/>
        <v/>
      </c>
    </row>
    <row r="887" spans="2:11" x14ac:dyDescent="0.25">
      <c r="B887" s="9" t="e">
        <f t="shared" si="136"/>
        <v>#N/A</v>
      </c>
      <c r="C887" s="10" t="e">
        <f t="shared" si="128"/>
        <v>#N/A</v>
      </c>
      <c r="D887" s="11" t="str">
        <f>IF(ISERROR(B887),"",bsolve($B887,$E$2,$E$4,$E$8,$E$9))</f>
        <v/>
      </c>
      <c r="E887" s="11" t="str">
        <f t="shared" si="129"/>
        <v/>
      </c>
      <c r="F887" s="11" t="str">
        <f t="shared" si="132"/>
        <v/>
      </c>
      <c r="G887" s="11" t="str">
        <f t="shared" si="133"/>
        <v/>
      </c>
      <c r="H887" s="19" t="str">
        <f t="shared" si="130"/>
        <v/>
      </c>
      <c r="I887" s="21">
        <f t="shared" si="134"/>
        <v>0</v>
      </c>
      <c r="J887" s="21" t="e">
        <f t="shared" si="131"/>
        <v>#N/A</v>
      </c>
      <c r="K887" s="21" t="str">
        <f t="shared" si="135"/>
        <v/>
      </c>
    </row>
    <row r="888" spans="2:11" x14ac:dyDescent="0.25">
      <c r="B888" s="9" t="e">
        <f t="shared" si="136"/>
        <v>#N/A</v>
      </c>
      <c r="C888" s="10" t="e">
        <f t="shared" si="128"/>
        <v>#N/A</v>
      </c>
      <c r="D888" s="11" t="str">
        <f>IF(ISERROR(B888),"",bsolve($B888,$E$2,$E$4,$E$8,$E$9))</f>
        <v/>
      </c>
      <c r="E888" s="11" t="str">
        <f t="shared" si="129"/>
        <v/>
      </c>
      <c r="F888" s="11" t="str">
        <f t="shared" si="132"/>
        <v/>
      </c>
      <c r="G888" s="11" t="str">
        <f t="shared" si="133"/>
        <v/>
      </c>
      <c r="H888" s="19" t="str">
        <f t="shared" si="130"/>
        <v/>
      </c>
      <c r="I888" s="21">
        <f t="shared" si="134"/>
        <v>0</v>
      </c>
      <c r="J888" s="21" t="e">
        <f t="shared" si="131"/>
        <v>#N/A</v>
      </c>
      <c r="K888" s="21" t="str">
        <f t="shared" si="135"/>
        <v/>
      </c>
    </row>
    <row r="889" spans="2:11" x14ac:dyDescent="0.25">
      <c r="B889" s="9" t="e">
        <f t="shared" si="136"/>
        <v>#N/A</v>
      </c>
      <c r="C889" s="10" t="e">
        <f t="shared" si="128"/>
        <v>#N/A</v>
      </c>
      <c r="D889" s="11" t="str">
        <f>IF(ISERROR(B889),"",bsolve($B889,$E$2,$E$4,$E$8,$E$9))</f>
        <v/>
      </c>
      <c r="E889" s="11" t="str">
        <f t="shared" si="129"/>
        <v/>
      </c>
      <c r="F889" s="11" t="str">
        <f t="shared" si="132"/>
        <v/>
      </c>
      <c r="G889" s="11" t="str">
        <f t="shared" si="133"/>
        <v/>
      </c>
      <c r="H889" s="19" t="str">
        <f t="shared" si="130"/>
        <v/>
      </c>
      <c r="I889" s="21">
        <f t="shared" si="134"/>
        <v>0</v>
      </c>
      <c r="J889" s="21" t="e">
        <f t="shared" si="131"/>
        <v>#N/A</v>
      </c>
      <c r="K889" s="21" t="str">
        <f t="shared" si="135"/>
        <v/>
      </c>
    </row>
    <row r="890" spans="2:11" x14ac:dyDescent="0.25">
      <c r="B890" s="9" t="e">
        <f t="shared" si="136"/>
        <v>#N/A</v>
      </c>
      <c r="C890" s="10" t="e">
        <f t="shared" si="128"/>
        <v>#N/A</v>
      </c>
      <c r="D890" s="11" t="str">
        <f>IF(ISERROR(B890),"",bsolve($B890,$E$2,$E$4,$E$8,$E$9))</f>
        <v/>
      </c>
      <c r="E890" s="11" t="str">
        <f t="shared" si="129"/>
        <v/>
      </c>
      <c r="F890" s="11" t="str">
        <f t="shared" si="132"/>
        <v/>
      </c>
      <c r="G890" s="11" t="str">
        <f t="shared" si="133"/>
        <v/>
      </c>
      <c r="H890" s="19" t="str">
        <f t="shared" si="130"/>
        <v/>
      </c>
      <c r="I890" s="21">
        <f t="shared" si="134"/>
        <v>0</v>
      </c>
      <c r="J890" s="21" t="e">
        <f t="shared" si="131"/>
        <v>#N/A</v>
      </c>
      <c r="K890" s="21" t="str">
        <f t="shared" si="135"/>
        <v/>
      </c>
    </row>
    <row r="891" spans="2:11" x14ac:dyDescent="0.25">
      <c r="B891" s="9" t="e">
        <f t="shared" si="136"/>
        <v>#N/A</v>
      </c>
      <c r="C891" s="10" t="e">
        <f t="shared" si="128"/>
        <v>#N/A</v>
      </c>
      <c r="D891" s="11" t="str">
        <f>IF(ISERROR(B891),"",bsolve($B891,$E$2,$E$4,$E$8,$E$9))</f>
        <v/>
      </c>
      <c r="E891" s="11" t="str">
        <f t="shared" si="129"/>
        <v/>
      </c>
      <c r="F891" s="11" t="str">
        <f t="shared" si="132"/>
        <v/>
      </c>
      <c r="G891" s="11" t="str">
        <f t="shared" si="133"/>
        <v/>
      </c>
      <c r="H891" s="19" t="str">
        <f t="shared" si="130"/>
        <v/>
      </c>
      <c r="I891" s="21">
        <f t="shared" si="134"/>
        <v>0</v>
      </c>
      <c r="J891" s="21" t="e">
        <f t="shared" si="131"/>
        <v>#N/A</v>
      </c>
      <c r="K891" s="21" t="str">
        <f t="shared" si="135"/>
        <v/>
      </c>
    </row>
    <row r="892" spans="2:11" x14ac:dyDescent="0.25">
      <c r="B892" s="9" t="e">
        <f t="shared" si="136"/>
        <v>#N/A</v>
      </c>
      <c r="C892" s="10" t="e">
        <f t="shared" si="128"/>
        <v>#N/A</v>
      </c>
      <c r="D892" s="11" t="str">
        <f>IF(ISERROR(B892),"",bsolve($B892,$E$2,$E$4,$E$8,$E$9))</f>
        <v/>
      </c>
      <c r="E892" s="11" t="str">
        <f t="shared" si="129"/>
        <v/>
      </c>
      <c r="F892" s="11" t="str">
        <f t="shared" si="132"/>
        <v/>
      </c>
      <c r="G892" s="11" t="str">
        <f t="shared" si="133"/>
        <v/>
      </c>
      <c r="H892" s="19" t="str">
        <f t="shared" si="130"/>
        <v/>
      </c>
      <c r="I892" s="21">
        <f t="shared" si="134"/>
        <v>0</v>
      </c>
      <c r="J892" s="21" t="e">
        <f t="shared" si="131"/>
        <v>#N/A</v>
      </c>
      <c r="K892" s="21" t="str">
        <f t="shared" si="135"/>
        <v/>
      </c>
    </row>
    <row r="893" spans="2:11" x14ac:dyDescent="0.25">
      <c r="B893" s="9" t="e">
        <f t="shared" si="136"/>
        <v>#N/A</v>
      </c>
      <c r="C893" s="10" t="e">
        <f t="shared" si="128"/>
        <v>#N/A</v>
      </c>
      <c r="D893" s="11" t="str">
        <f>IF(ISERROR(B893),"",bsolve($B893,$E$2,$E$4,$E$8,$E$9))</f>
        <v/>
      </c>
      <c r="E893" s="11" t="str">
        <f t="shared" si="129"/>
        <v/>
      </c>
      <c r="F893" s="11" t="str">
        <f t="shared" si="132"/>
        <v/>
      </c>
      <c r="G893" s="11" t="str">
        <f t="shared" si="133"/>
        <v/>
      </c>
      <c r="H893" s="19" t="str">
        <f t="shared" si="130"/>
        <v/>
      </c>
      <c r="I893" s="21">
        <f t="shared" si="134"/>
        <v>0</v>
      </c>
      <c r="J893" s="21" t="e">
        <f t="shared" si="131"/>
        <v>#N/A</v>
      </c>
      <c r="K893" s="21" t="str">
        <f t="shared" si="135"/>
        <v/>
      </c>
    </row>
    <row r="894" spans="2:11" x14ac:dyDescent="0.25">
      <c r="B894" s="9" t="e">
        <f t="shared" si="136"/>
        <v>#N/A</v>
      </c>
      <c r="C894" s="10" t="e">
        <f t="shared" si="128"/>
        <v>#N/A</v>
      </c>
      <c r="D894" s="11" t="str">
        <f>IF(ISERROR(B894),"",bsolve($B894,$E$2,$E$4,$E$8,$E$9))</f>
        <v/>
      </c>
      <c r="E894" s="11" t="str">
        <f t="shared" si="129"/>
        <v/>
      </c>
      <c r="F894" s="11" t="str">
        <f t="shared" si="132"/>
        <v/>
      </c>
      <c r="G894" s="11" t="str">
        <f t="shared" si="133"/>
        <v/>
      </c>
      <c r="H894" s="19" t="str">
        <f t="shared" si="130"/>
        <v/>
      </c>
      <c r="I894" s="21">
        <f t="shared" si="134"/>
        <v>0</v>
      </c>
      <c r="J894" s="21" t="e">
        <f t="shared" si="131"/>
        <v>#N/A</v>
      </c>
      <c r="K894" s="21" t="str">
        <f t="shared" si="135"/>
        <v/>
      </c>
    </row>
    <row r="895" spans="2:11" x14ac:dyDescent="0.25">
      <c r="B895" s="9" t="e">
        <f t="shared" si="136"/>
        <v>#N/A</v>
      </c>
      <c r="C895" s="10" t="e">
        <f t="shared" si="128"/>
        <v>#N/A</v>
      </c>
      <c r="D895" s="11" t="str">
        <f>IF(ISERROR(B895),"",bsolve($B895,$E$2,$E$4,$E$8,$E$9))</f>
        <v/>
      </c>
      <c r="E895" s="11" t="str">
        <f t="shared" si="129"/>
        <v/>
      </c>
      <c r="F895" s="11" t="str">
        <f t="shared" si="132"/>
        <v/>
      </c>
      <c r="G895" s="11" t="str">
        <f t="shared" si="133"/>
        <v/>
      </c>
      <c r="H895" s="19" t="str">
        <f t="shared" si="130"/>
        <v/>
      </c>
      <c r="I895" s="21">
        <f t="shared" si="134"/>
        <v>0</v>
      </c>
      <c r="J895" s="21" t="e">
        <f t="shared" si="131"/>
        <v>#N/A</v>
      </c>
      <c r="K895" s="21" t="str">
        <f t="shared" si="135"/>
        <v/>
      </c>
    </row>
    <row r="896" spans="2:11" x14ac:dyDescent="0.25">
      <c r="B896" s="9" t="e">
        <f t="shared" si="136"/>
        <v>#N/A</v>
      </c>
      <c r="C896" s="10" t="e">
        <f t="shared" si="128"/>
        <v>#N/A</v>
      </c>
      <c r="D896" s="11" t="str">
        <f>IF(ISERROR(B896),"",bsolve($B896,$E$2,$E$4,$E$8,$E$9))</f>
        <v/>
      </c>
      <c r="E896" s="11" t="str">
        <f t="shared" si="129"/>
        <v/>
      </c>
      <c r="F896" s="11" t="str">
        <f t="shared" si="132"/>
        <v/>
      </c>
      <c r="G896" s="11" t="str">
        <f t="shared" si="133"/>
        <v/>
      </c>
      <c r="H896" s="19" t="str">
        <f t="shared" si="130"/>
        <v/>
      </c>
      <c r="I896" s="21">
        <f t="shared" si="134"/>
        <v>0</v>
      </c>
      <c r="J896" s="21" t="e">
        <f t="shared" si="131"/>
        <v>#N/A</v>
      </c>
      <c r="K896" s="21" t="str">
        <f t="shared" si="135"/>
        <v/>
      </c>
    </row>
    <row r="897" spans="2:11" x14ac:dyDescent="0.25">
      <c r="B897" s="9" t="e">
        <f t="shared" si="136"/>
        <v>#N/A</v>
      </c>
      <c r="C897" s="10" t="e">
        <f t="shared" si="128"/>
        <v>#N/A</v>
      </c>
      <c r="D897" s="11" t="str">
        <f>IF(ISERROR(B897),"",bsolve($B897,$E$2,$E$4,$E$8,$E$9))</f>
        <v/>
      </c>
      <c r="E897" s="11" t="str">
        <f t="shared" si="129"/>
        <v/>
      </c>
      <c r="F897" s="11" t="str">
        <f t="shared" si="132"/>
        <v/>
      </c>
      <c r="G897" s="11" t="str">
        <f t="shared" si="133"/>
        <v/>
      </c>
      <c r="H897" s="19" t="str">
        <f t="shared" si="130"/>
        <v/>
      </c>
      <c r="I897" s="21">
        <f t="shared" si="134"/>
        <v>0</v>
      </c>
      <c r="J897" s="21" t="e">
        <f t="shared" si="131"/>
        <v>#N/A</v>
      </c>
      <c r="K897" s="21" t="str">
        <f t="shared" si="135"/>
        <v/>
      </c>
    </row>
    <row r="898" spans="2:11" x14ac:dyDescent="0.25">
      <c r="B898" s="9" t="e">
        <f t="shared" si="136"/>
        <v>#N/A</v>
      </c>
      <c r="C898" s="10" t="e">
        <f t="shared" si="128"/>
        <v>#N/A</v>
      </c>
      <c r="D898" s="11" t="str">
        <f>IF(ISERROR(B898),"",bsolve($B898,$E$2,$E$4,$E$8,$E$9))</f>
        <v/>
      </c>
      <c r="E898" s="11" t="str">
        <f t="shared" si="129"/>
        <v/>
      </c>
      <c r="F898" s="11" t="str">
        <f t="shared" si="132"/>
        <v/>
      </c>
      <c r="G898" s="11" t="str">
        <f t="shared" si="133"/>
        <v/>
      </c>
      <c r="H898" s="19" t="str">
        <f t="shared" si="130"/>
        <v/>
      </c>
      <c r="I898" s="21">
        <f t="shared" si="134"/>
        <v>0</v>
      </c>
      <c r="J898" s="21" t="e">
        <f t="shared" si="131"/>
        <v>#N/A</v>
      </c>
      <c r="K898" s="21" t="str">
        <f t="shared" si="135"/>
        <v/>
      </c>
    </row>
    <row r="899" spans="2:11" x14ac:dyDescent="0.25">
      <c r="B899" s="9" t="e">
        <f t="shared" si="136"/>
        <v>#N/A</v>
      </c>
      <c r="C899" s="10" t="e">
        <f t="shared" si="128"/>
        <v>#N/A</v>
      </c>
      <c r="D899" s="11" t="str">
        <f>IF(ISERROR(B899),"",bsolve($B899,$E$2,$E$4,$E$8,$E$9))</f>
        <v/>
      </c>
      <c r="E899" s="11" t="str">
        <f t="shared" si="129"/>
        <v/>
      </c>
      <c r="F899" s="11" t="str">
        <f t="shared" si="132"/>
        <v/>
      </c>
      <c r="G899" s="11" t="str">
        <f t="shared" si="133"/>
        <v/>
      </c>
      <c r="H899" s="19" t="str">
        <f t="shared" si="130"/>
        <v/>
      </c>
      <c r="I899" s="21">
        <f t="shared" si="134"/>
        <v>0</v>
      </c>
      <c r="J899" s="21" t="e">
        <f t="shared" si="131"/>
        <v>#N/A</v>
      </c>
      <c r="K899" s="21" t="str">
        <f t="shared" si="135"/>
        <v/>
      </c>
    </row>
    <row r="900" spans="2:11" x14ac:dyDescent="0.25">
      <c r="B900" s="9" t="e">
        <f t="shared" si="136"/>
        <v>#N/A</v>
      </c>
      <c r="C900" s="10" t="e">
        <f t="shared" si="128"/>
        <v>#N/A</v>
      </c>
      <c r="D900" s="11" t="str">
        <f>IF(ISERROR(B900),"",bsolve($B900,$E$2,$E$4,$E$8,$E$9))</f>
        <v/>
      </c>
      <c r="E900" s="11" t="str">
        <f t="shared" si="129"/>
        <v/>
      </c>
      <c r="F900" s="11" t="str">
        <f t="shared" si="132"/>
        <v/>
      </c>
      <c r="G900" s="11" t="str">
        <f t="shared" si="133"/>
        <v/>
      </c>
      <c r="H900" s="19" t="str">
        <f t="shared" si="130"/>
        <v/>
      </c>
      <c r="I900" s="21">
        <f t="shared" si="134"/>
        <v>0</v>
      </c>
      <c r="J900" s="21" t="e">
        <f t="shared" si="131"/>
        <v>#N/A</v>
      </c>
      <c r="K900" s="21" t="str">
        <f t="shared" si="135"/>
        <v/>
      </c>
    </row>
    <row r="901" spans="2:11" x14ac:dyDescent="0.25">
      <c r="B901" s="9" t="e">
        <f t="shared" si="136"/>
        <v>#N/A</v>
      </c>
      <c r="C901" s="10" t="e">
        <f t="shared" si="128"/>
        <v>#N/A</v>
      </c>
      <c r="D901" s="11" t="str">
        <f>IF(ISERROR(B901),"",bsolve($B901,$E$2,$E$4,$E$8,$E$9))</f>
        <v/>
      </c>
      <c r="E901" s="11" t="str">
        <f t="shared" si="129"/>
        <v/>
      </c>
      <c r="F901" s="11" t="str">
        <f t="shared" si="132"/>
        <v/>
      </c>
      <c r="G901" s="11" t="str">
        <f t="shared" si="133"/>
        <v/>
      </c>
      <c r="H901" s="19" t="str">
        <f t="shared" si="130"/>
        <v/>
      </c>
      <c r="I901" s="21">
        <f t="shared" si="134"/>
        <v>0</v>
      </c>
      <c r="J901" s="21" t="e">
        <f t="shared" si="131"/>
        <v>#N/A</v>
      </c>
      <c r="K901" s="21" t="str">
        <f t="shared" si="135"/>
        <v/>
      </c>
    </row>
    <row r="902" spans="2:11" x14ac:dyDescent="0.25">
      <c r="B902" s="9" t="e">
        <f t="shared" si="136"/>
        <v>#N/A</v>
      </c>
      <c r="C902" s="10" t="e">
        <f t="shared" si="128"/>
        <v>#N/A</v>
      </c>
      <c r="D902" s="11" t="str">
        <f>IF(ISERROR(B902),"",bsolve($B902,$E$2,$E$4,$E$8,$E$9))</f>
        <v/>
      </c>
      <c r="E902" s="11" t="str">
        <f t="shared" si="129"/>
        <v/>
      </c>
      <c r="F902" s="11" t="str">
        <f t="shared" si="132"/>
        <v/>
      </c>
      <c r="G902" s="11" t="str">
        <f t="shared" si="133"/>
        <v/>
      </c>
      <c r="H902" s="19" t="str">
        <f t="shared" si="130"/>
        <v/>
      </c>
      <c r="I902" s="21">
        <f t="shared" si="134"/>
        <v>0</v>
      </c>
      <c r="J902" s="21" t="e">
        <f t="shared" si="131"/>
        <v>#N/A</v>
      </c>
      <c r="K902" s="21" t="str">
        <f t="shared" si="135"/>
        <v/>
      </c>
    </row>
    <row r="903" spans="2:11" x14ac:dyDescent="0.25">
      <c r="B903" s="9" t="e">
        <f t="shared" si="136"/>
        <v>#N/A</v>
      </c>
      <c r="C903" s="10" t="e">
        <f t="shared" si="128"/>
        <v>#N/A</v>
      </c>
      <c r="D903" s="11" t="str">
        <f>IF(ISERROR(B903),"",bsolve($B903,$E$2,$E$4,$E$8,$E$9))</f>
        <v/>
      </c>
      <c r="E903" s="11" t="str">
        <f t="shared" si="129"/>
        <v/>
      </c>
      <c r="F903" s="11" t="str">
        <f t="shared" si="132"/>
        <v/>
      </c>
      <c r="G903" s="11" t="str">
        <f t="shared" si="133"/>
        <v/>
      </c>
      <c r="H903" s="19" t="str">
        <f t="shared" si="130"/>
        <v/>
      </c>
      <c r="I903" s="21">
        <f t="shared" si="134"/>
        <v>0</v>
      </c>
      <c r="J903" s="21" t="e">
        <f t="shared" si="131"/>
        <v>#N/A</v>
      </c>
      <c r="K903" s="21" t="str">
        <f t="shared" si="135"/>
        <v/>
      </c>
    </row>
    <row r="904" spans="2:11" x14ac:dyDescent="0.25">
      <c r="B904" s="9" t="e">
        <f t="shared" si="136"/>
        <v>#N/A</v>
      </c>
      <c r="C904" s="10" t="e">
        <f t="shared" si="128"/>
        <v>#N/A</v>
      </c>
      <c r="D904" s="11" t="str">
        <f>IF(ISERROR(B904),"",bsolve($B904,$E$2,$E$4,$E$8,$E$9))</f>
        <v/>
      </c>
      <c r="E904" s="11" t="str">
        <f t="shared" si="129"/>
        <v/>
      </c>
      <c r="F904" s="11" t="str">
        <f t="shared" si="132"/>
        <v/>
      </c>
      <c r="G904" s="11" t="str">
        <f t="shared" si="133"/>
        <v/>
      </c>
      <c r="H904" s="19" t="str">
        <f t="shared" si="130"/>
        <v/>
      </c>
      <c r="I904" s="21">
        <f t="shared" si="134"/>
        <v>0</v>
      </c>
      <c r="J904" s="21" t="e">
        <f t="shared" si="131"/>
        <v>#N/A</v>
      </c>
      <c r="K904" s="21" t="str">
        <f t="shared" si="135"/>
        <v/>
      </c>
    </row>
    <row r="905" spans="2:11" x14ac:dyDescent="0.25">
      <c r="B905" s="9" t="e">
        <f t="shared" si="136"/>
        <v>#N/A</v>
      </c>
      <c r="C905" s="10" t="e">
        <f t="shared" si="128"/>
        <v>#N/A</v>
      </c>
      <c r="D905" s="11" t="str">
        <f>IF(ISERROR(B905),"",bsolve($B905,$E$2,$E$4,$E$8,$E$9))</f>
        <v/>
      </c>
      <c r="E905" s="11" t="str">
        <f t="shared" si="129"/>
        <v/>
      </c>
      <c r="F905" s="11" t="str">
        <f t="shared" si="132"/>
        <v/>
      </c>
      <c r="G905" s="11" t="str">
        <f t="shared" si="133"/>
        <v/>
      </c>
      <c r="H905" s="19" t="str">
        <f t="shared" si="130"/>
        <v/>
      </c>
      <c r="I905" s="21">
        <f t="shared" si="134"/>
        <v>0</v>
      </c>
      <c r="J905" s="21" t="e">
        <f t="shared" si="131"/>
        <v>#N/A</v>
      </c>
      <c r="K905" s="21" t="str">
        <f t="shared" si="135"/>
        <v/>
      </c>
    </row>
    <row r="906" spans="2:11" x14ac:dyDescent="0.25">
      <c r="B906" s="9" t="e">
        <f t="shared" si="136"/>
        <v>#N/A</v>
      </c>
      <c r="C906" s="10" t="e">
        <f t="shared" si="128"/>
        <v>#N/A</v>
      </c>
      <c r="D906" s="11" t="str">
        <f>IF(ISERROR(B906),"",bsolve($B906,$E$2,$E$4,$E$8,$E$9))</f>
        <v/>
      </c>
      <c r="E906" s="11" t="str">
        <f t="shared" si="129"/>
        <v/>
      </c>
      <c r="F906" s="11" t="str">
        <f t="shared" si="132"/>
        <v/>
      </c>
      <c r="G906" s="11" t="str">
        <f t="shared" si="133"/>
        <v/>
      </c>
      <c r="H906" s="19" t="str">
        <f t="shared" si="130"/>
        <v/>
      </c>
      <c r="I906" s="21">
        <f t="shared" si="134"/>
        <v>0</v>
      </c>
      <c r="J906" s="21" t="e">
        <f t="shared" si="131"/>
        <v>#N/A</v>
      </c>
      <c r="K906" s="21" t="str">
        <f t="shared" si="135"/>
        <v/>
      </c>
    </row>
    <row r="907" spans="2:11" x14ac:dyDescent="0.25">
      <c r="B907" s="9" t="e">
        <f t="shared" si="136"/>
        <v>#N/A</v>
      </c>
      <c r="C907" s="10" t="e">
        <f t="shared" si="128"/>
        <v>#N/A</v>
      </c>
      <c r="D907" s="11" t="str">
        <f>IF(ISERROR(B907),"",bsolve($B907,$E$2,$E$4,$E$8,$E$9))</f>
        <v/>
      </c>
      <c r="E907" s="11" t="str">
        <f t="shared" si="129"/>
        <v/>
      </c>
      <c r="F907" s="11" t="str">
        <f t="shared" si="132"/>
        <v/>
      </c>
      <c r="G907" s="11" t="str">
        <f t="shared" si="133"/>
        <v/>
      </c>
      <c r="H907" s="19" t="str">
        <f t="shared" si="130"/>
        <v/>
      </c>
      <c r="I907" s="21">
        <f t="shared" si="134"/>
        <v>0</v>
      </c>
      <c r="J907" s="21" t="e">
        <f t="shared" si="131"/>
        <v>#N/A</v>
      </c>
      <c r="K907" s="21" t="str">
        <f t="shared" si="135"/>
        <v/>
      </c>
    </row>
    <row r="908" spans="2:11" x14ac:dyDescent="0.25">
      <c r="B908" s="9" t="e">
        <f t="shared" si="136"/>
        <v>#N/A</v>
      </c>
      <c r="C908" s="10" t="e">
        <f t="shared" si="128"/>
        <v>#N/A</v>
      </c>
      <c r="D908" s="11" t="str">
        <f>IF(ISERROR(B908),"",bsolve($B908,$E$2,$E$4,$E$8,$E$9))</f>
        <v/>
      </c>
      <c r="E908" s="11" t="str">
        <f t="shared" si="129"/>
        <v/>
      </c>
      <c r="F908" s="11" t="str">
        <f t="shared" si="132"/>
        <v/>
      </c>
      <c r="G908" s="11" t="str">
        <f t="shared" si="133"/>
        <v/>
      </c>
      <c r="H908" s="19" t="str">
        <f t="shared" si="130"/>
        <v/>
      </c>
      <c r="I908" s="21">
        <f t="shared" si="134"/>
        <v>0</v>
      </c>
      <c r="J908" s="21" t="e">
        <f t="shared" si="131"/>
        <v>#N/A</v>
      </c>
      <c r="K908" s="21" t="str">
        <f t="shared" si="135"/>
        <v/>
      </c>
    </row>
    <row r="909" spans="2:11" x14ac:dyDescent="0.25">
      <c r="B909" s="9" t="e">
        <f t="shared" si="136"/>
        <v>#N/A</v>
      </c>
      <c r="C909" s="10" t="e">
        <f t="shared" si="128"/>
        <v>#N/A</v>
      </c>
      <c r="D909" s="11" t="str">
        <f>IF(ISERROR(B909),"",bsolve($B909,$E$2,$E$4,$E$8,$E$9))</f>
        <v/>
      </c>
      <c r="E909" s="11" t="str">
        <f t="shared" si="129"/>
        <v/>
      </c>
      <c r="F909" s="11" t="str">
        <f t="shared" si="132"/>
        <v/>
      </c>
      <c r="G909" s="11" t="str">
        <f t="shared" si="133"/>
        <v/>
      </c>
      <c r="H909" s="19" t="str">
        <f t="shared" si="130"/>
        <v/>
      </c>
      <c r="I909" s="21">
        <f t="shared" si="134"/>
        <v>0</v>
      </c>
      <c r="J909" s="21" t="e">
        <f t="shared" si="131"/>
        <v>#N/A</v>
      </c>
      <c r="K909" s="21" t="str">
        <f t="shared" si="135"/>
        <v/>
      </c>
    </row>
    <row r="910" spans="2:11" x14ac:dyDescent="0.25">
      <c r="B910" s="9" t="e">
        <f t="shared" si="136"/>
        <v>#N/A</v>
      </c>
      <c r="C910" s="10" t="e">
        <f t="shared" si="128"/>
        <v>#N/A</v>
      </c>
      <c r="D910" s="11" t="str">
        <f>IF(ISERROR(B910),"",bsolve($B910,$E$2,$E$4,$E$8,$E$9))</f>
        <v/>
      </c>
      <c r="E910" s="11" t="str">
        <f t="shared" si="129"/>
        <v/>
      </c>
      <c r="F910" s="11" t="str">
        <f t="shared" si="132"/>
        <v/>
      </c>
      <c r="G910" s="11" t="str">
        <f t="shared" si="133"/>
        <v/>
      </c>
      <c r="H910" s="19" t="str">
        <f t="shared" si="130"/>
        <v/>
      </c>
      <c r="I910" s="21">
        <f t="shared" si="134"/>
        <v>0</v>
      </c>
      <c r="J910" s="21" t="e">
        <f t="shared" si="131"/>
        <v>#N/A</v>
      </c>
      <c r="K910" s="21" t="str">
        <f t="shared" si="135"/>
        <v/>
      </c>
    </row>
    <row r="911" spans="2:11" x14ac:dyDescent="0.25">
      <c r="B911" s="9" t="e">
        <f t="shared" si="136"/>
        <v>#N/A</v>
      </c>
      <c r="C911" s="10" t="e">
        <f t="shared" si="128"/>
        <v>#N/A</v>
      </c>
      <c r="D911" s="11" t="str">
        <f>IF(ISERROR(B911),"",bsolve($B911,$E$2,$E$4,$E$8,$E$9))</f>
        <v/>
      </c>
      <c r="E911" s="11" t="str">
        <f t="shared" si="129"/>
        <v/>
      </c>
      <c r="F911" s="11" t="str">
        <f t="shared" si="132"/>
        <v/>
      </c>
      <c r="G911" s="11" t="str">
        <f t="shared" si="133"/>
        <v/>
      </c>
      <c r="H911" s="19" t="str">
        <f t="shared" si="130"/>
        <v/>
      </c>
      <c r="I911" s="21">
        <f t="shared" si="134"/>
        <v>0</v>
      </c>
      <c r="J911" s="21" t="e">
        <f t="shared" si="131"/>
        <v>#N/A</v>
      </c>
      <c r="K911" s="21" t="str">
        <f t="shared" si="135"/>
        <v/>
      </c>
    </row>
    <row r="912" spans="2:11" x14ac:dyDescent="0.25">
      <c r="B912" s="9" t="e">
        <f t="shared" si="136"/>
        <v>#N/A</v>
      </c>
      <c r="C912" s="10" t="e">
        <f t="shared" si="128"/>
        <v>#N/A</v>
      </c>
      <c r="D912" s="11" t="str">
        <f>IF(ISERROR(B912),"",bsolve($B912,$E$2,$E$4,$E$8,$E$9))</f>
        <v/>
      </c>
      <c r="E912" s="11" t="str">
        <f t="shared" si="129"/>
        <v/>
      </c>
      <c r="F912" s="11" t="str">
        <f t="shared" si="132"/>
        <v/>
      </c>
      <c r="G912" s="11" t="str">
        <f t="shared" si="133"/>
        <v/>
      </c>
      <c r="H912" s="19" t="str">
        <f t="shared" si="130"/>
        <v/>
      </c>
      <c r="I912" s="21">
        <f t="shared" si="134"/>
        <v>0</v>
      </c>
      <c r="J912" s="21" t="e">
        <f t="shared" si="131"/>
        <v>#N/A</v>
      </c>
      <c r="K912" s="21" t="str">
        <f t="shared" si="135"/>
        <v/>
      </c>
    </row>
    <row r="913" spans="2:11" x14ac:dyDescent="0.25">
      <c r="B913" s="9" t="e">
        <f t="shared" si="136"/>
        <v>#N/A</v>
      </c>
      <c r="C913" s="10" t="e">
        <f t="shared" si="128"/>
        <v>#N/A</v>
      </c>
      <c r="D913" s="11" t="str">
        <f>IF(ISERROR(B913),"",bsolve($B913,$E$2,$E$4,$E$8,$E$9))</f>
        <v/>
      </c>
      <c r="E913" s="11" t="str">
        <f t="shared" si="129"/>
        <v/>
      </c>
      <c r="F913" s="11" t="str">
        <f t="shared" si="132"/>
        <v/>
      </c>
      <c r="G913" s="11" t="str">
        <f t="shared" si="133"/>
        <v/>
      </c>
      <c r="H913" s="19" t="str">
        <f t="shared" si="130"/>
        <v/>
      </c>
      <c r="I913" s="21">
        <f t="shared" si="134"/>
        <v>0</v>
      </c>
      <c r="J913" s="21" t="e">
        <f t="shared" si="131"/>
        <v>#N/A</v>
      </c>
      <c r="K913" s="21" t="str">
        <f t="shared" si="135"/>
        <v/>
      </c>
    </row>
    <row r="914" spans="2:11" x14ac:dyDescent="0.25">
      <c r="B914" s="9" t="e">
        <f t="shared" si="136"/>
        <v>#N/A</v>
      </c>
      <c r="C914" s="10" t="e">
        <f t="shared" ref="C914:C977" si="137">IF(B914="","",100*B914/$E$2)</f>
        <v>#N/A</v>
      </c>
      <c r="D914" s="11" t="str">
        <f>IF(ISERROR(B914),"",bsolve($B914,$E$2,$E$4,$E$8,$E$9))</f>
        <v/>
      </c>
      <c r="E914" s="11" t="str">
        <f t="shared" ref="E914:E977" si="138">IF(ISERROR(B914),"",IF(AND($E$7&lt;$E$5,C914&gt;=($E$5*100)),D914,0))</f>
        <v/>
      </c>
      <c r="F914" s="11" t="str">
        <f t="shared" si="132"/>
        <v/>
      </c>
      <c r="G914" s="11" t="str">
        <f t="shared" si="133"/>
        <v/>
      </c>
      <c r="H914" s="19" t="str">
        <f t="shared" ref="H914:H977" si="139">IF(ISERROR(B914),"",100*((B914*(1-$E$9))+($E$2-B914)*$E$8)/$E$2)</f>
        <v/>
      </c>
      <c r="I914" s="21">
        <f t="shared" si="134"/>
        <v>0</v>
      </c>
      <c r="J914" s="21" t="e">
        <f t="shared" ref="J914:J977" si="140">IF(ISERROR(B914),NA(),IF(AND(H914&gt;=$E$5*100,B914/$E$2&lt;$E$5),H914,NA()))</f>
        <v>#N/A</v>
      </c>
      <c r="K914" s="21" t="str">
        <f t="shared" si="135"/>
        <v/>
      </c>
    </row>
    <row r="915" spans="2:11" x14ac:dyDescent="0.25">
      <c r="B915" s="9" t="e">
        <f t="shared" si="136"/>
        <v>#N/A</v>
      </c>
      <c r="C915" s="10" t="e">
        <f t="shared" si="137"/>
        <v>#N/A</v>
      </c>
      <c r="D915" s="11" t="str">
        <f>IF(ISERROR(B915),"",bsolve($B915,$E$2,$E$4,$E$8,$E$9))</f>
        <v/>
      </c>
      <c r="E915" s="11" t="str">
        <f t="shared" si="138"/>
        <v/>
      </c>
      <c r="F915" s="11" t="str">
        <f t="shared" ref="F915:F978" si="141">IF(ISERROR(B915),"",IF(AND($E$7&gt;=$E$5,C915&lt;($E$5*100)),D915,0))</f>
        <v/>
      </c>
      <c r="G915" s="11" t="str">
        <f t="shared" ref="G915:G978" si="142">IF(ISERROR(B915),"",IF(C915&gt;=$E$5*100,D915,""))</f>
        <v/>
      </c>
      <c r="H915" s="19" t="str">
        <f t="shared" si="139"/>
        <v/>
      </c>
      <c r="I915" s="21">
        <f t="shared" ref="I915:I978" si="143">IF(NOT(ISERROR(J915)),B915,0)</f>
        <v>0</v>
      </c>
      <c r="J915" s="21" t="e">
        <f t="shared" si="140"/>
        <v>#N/A</v>
      </c>
      <c r="K915" s="21" t="str">
        <f t="shared" ref="K915:K978" si="144">IF(AND(I915=0,I916&gt;0),B915,"")</f>
        <v/>
      </c>
    </row>
    <row r="916" spans="2:11" x14ac:dyDescent="0.25">
      <c r="B916" s="9" t="e">
        <f t="shared" ref="B916:B979" si="145">IF(ROW()-18&lt;=$E$2,B915+1,NA())</f>
        <v>#N/A</v>
      </c>
      <c r="C916" s="10" t="e">
        <f t="shared" si="137"/>
        <v>#N/A</v>
      </c>
      <c r="D916" s="11" t="str">
        <f>IF(ISERROR(B916),"",bsolve($B916,$E$2,$E$4,$E$8,$E$9))</f>
        <v/>
      </c>
      <c r="E916" s="11" t="str">
        <f t="shared" si="138"/>
        <v/>
      </c>
      <c r="F916" s="11" t="str">
        <f t="shared" si="141"/>
        <v/>
      </c>
      <c r="G916" s="11" t="str">
        <f t="shared" si="142"/>
        <v/>
      </c>
      <c r="H916" s="19" t="str">
        <f t="shared" si="139"/>
        <v/>
      </c>
      <c r="I916" s="21">
        <f t="shared" si="143"/>
        <v>0</v>
      </c>
      <c r="J916" s="21" t="e">
        <f t="shared" si="140"/>
        <v>#N/A</v>
      </c>
      <c r="K916" s="21" t="str">
        <f t="shared" si="144"/>
        <v/>
      </c>
    </row>
    <row r="917" spans="2:11" x14ac:dyDescent="0.25">
      <c r="B917" s="9" t="e">
        <f t="shared" si="145"/>
        <v>#N/A</v>
      </c>
      <c r="C917" s="10" t="e">
        <f t="shared" si="137"/>
        <v>#N/A</v>
      </c>
      <c r="D917" s="11" t="str">
        <f>IF(ISERROR(B917),"",bsolve($B917,$E$2,$E$4,$E$8,$E$9))</f>
        <v/>
      </c>
      <c r="E917" s="11" t="str">
        <f t="shared" si="138"/>
        <v/>
      </c>
      <c r="F917" s="11" t="str">
        <f t="shared" si="141"/>
        <v/>
      </c>
      <c r="G917" s="11" t="str">
        <f t="shared" si="142"/>
        <v/>
      </c>
      <c r="H917" s="19" t="str">
        <f t="shared" si="139"/>
        <v/>
      </c>
      <c r="I917" s="21">
        <f t="shared" si="143"/>
        <v>0</v>
      </c>
      <c r="J917" s="21" t="e">
        <f t="shared" si="140"/>
        <v>#N/A</v>
      </c>
      <c r="K917" s="21" t="str">
        <f t="shared" si="144"/>
        <v/>
      </c>
    </row>
    <row r="918" spans="2:11" x14ac:dyDescent="0.25">
      <c r="B918" s="9" t="e">
        <f t="shared" si="145"/>
        <v>#N/A</v>
      </c>
      <c r="C918" s="10" t="e">
        <f t="shared" si="137"/>
        <v>#N/A</v>
      </c>
      <c r="D918" s="11" t="str">
        <f>IF(ISERROR(B918),"",bsolve($B918,$E$2,$E$4,$E$8,$E$9))</f>
        <v/>
      </c>
      <c r="E918" s="11" t="str">
        <f t="shared" si="138"/>
        <v/>
      </c>
      <c r="F918" s="11" t="str">
        <f t="shared" si="141"/>
        <v/>
      </c>
      <c r="G918" s="11" t="str">
        <f t="shared" si="142"/>
        <v/>
      </c>
      <c r="H918" s="19" t="str">
        <f t="shared" si="139"/>
        <v/>
      </c>
      <c r="I918" s="21">
        <f t="shared" si="143"/>
        <v>0</v>
      </c>
      <c r="J918" s="21" t="e">
        <f t="shared" si="140"/>
        <v>#N/A</v>
      </c>
      <c r="K918" s="21" t="str">
        <f t="shared" si="144"/>
        <v/>
      </c>
    </row>
    <row r="919" spans="2:11" x14ac:dyDescent="0.25">
      <c r="B919" s="9" t="e">
        <f t="shared" si="145"/>
        <v>#N/A</v>
      </c>
      <c r="C919" s="10" t="e">
        <f t="shared" si="137"/>
        <v>#N/A</v>
      </c>
      <c r="D919" s="11" t="str">
        <f>IF(ISERROR(B919),"",bsolve($B919,$E$2,$E$4,$E$8,$E$9))</f>
        <v/>
      </c>
      <c r="E919" s="11" t="str">
        <f t="shared" si="138"/>
        <v/>
      </c>
      <c r="F919" s="11" t="str">
        <f t="shared" si="141"/>
        <v/>
      </c>
      <c r="G919" s="11" t="str">
        <f t="shared" si="142"/>
        <v/>
      </c>
      <c r="H919" s="19" t="str">
        <f t="shared" si="139"/>
        <v/>
      </c>
      <c r="I919" s="21">
        <f t="shared" si="143"/>
        <v>0</v>
      </c>
      <c r="J919" s="21" t="e">
        <f t="shared" si="140"/>
        <v>#N/A</v>
      </c>
      <c r="K919" s="21" t="str">
        <f t="shared" si="144"/>
        <v/>
      </c>
    </row>
    <row r="920" spans="2:11" x14ac:dyDescent="0.25">
      <c r="B920" s="9" t="e">
        <f t="shared" si="145"/>
        <v>#N/A</v>
      </c>
      <c r="C920" s="10" t="e">
        <f t="shared" si="137"/>
        <v>#N/A</v>
      </c>
      <c r="D920" s="11" t="str">
        <f>IF(ISERROR(B920),"",bsolve($B920,$E$2,$E$4,$E$8,$E$9))</f>
        <v/>
      </c>
      <c r="E920" s="11" t="str">
        <f t="shared" si="138"/>
        <v/>
      </c>
      <c r="F920" s="11" t="str">
        <f t="shared" si="141"/>
        <v/>
      </c>
      <c r="G920" s="11" t="str">
        <f t="shared" si="142"/>
        <v/>
      </c>
      <c r="H920" s="19" t="str">
        <f t="shared" si="139"/>
        <v/>
      </c>
      <c r="I920" s="21">
        <f t="shared" si="143"/>
        <v>0</v>
      </c>
      <c r="J920" s="21" t="e">
        <f t="shared" si="140"/>
        <v>#N/A</v>
      </c>
      <c r="K920" s="21" t="str">
        <f t="shared" si="144"/>
        <v/>
      </c>
    </row>
    <row r="921" spans="2:11" x14ac:dyDescent="0.25">
      <c r="B921" s="9" t="e">
        <f t="shared" si="145"/>
        <v>#N/A</v>
      </c>
      <c r="C921" s="10" t="e">
        <f t="shared" si="137"/>
        <v>#N/A</v>
      </c>
      <c r="D921" s="11" t="str">
        <f>IF(ISERROR(B921),"",bsolve($B921,$E$2,$E$4,$E$8,$E$9))</f>
        <v/>
      </c>
      <c r="E921" s="11" t="str">
        <f t="shared" si="138"/>
        <v/>
      </c>
      <c r="F921" s="11" t="str">
        <f t="shared" si="141"/>
        <v/>
      </c>
      <c r="G921" s="11" t="str">
        <f t="shared" si="142"/>
        <v/>
      </c>
      <c r="H921" s="19" t="str">
        <f t="shared" si="139"/>
        <v/>
      </c>
      <c r="I921" s="21">
        <f t="shared" si="143"/>
        <v>0</v>
      </c>
      <c r="J921" s="21" t="e">
        <f t="shared" si="140"/>
        <v>#N/A</v>
      </c>
      <c r="K921" s="21" t="str">
        <f t="shared" si="144"/>
        <v/>
      </c>
    </row>
    <row r="922" spans="2:11" x14ac:dyDescent="0.25">
      <c r="B922" s="9" t="e">
        <f t="shared" si="145"/>
        <v>#N/A</v>
      </c>
      <c r="C922" s="10" t="e">
        <f t="shared" si="137"/>
        <v>#N/A</v>
      </c>
      <c r="D922" s="11" t="str">
        <f>IF(ISERROR(B922),"",bsolve($B922,$E$2,$E$4,$E$8,$E$9))</f>
        <v/>
      </c>
      <c r="E922" s="11" t="str">
        <f t="shared" si="138"/>
        <v/>
      </c>
      <c r="F922" s="11" t="str">
        <f t="shared" si="141"/>
        <v/>
      </c>
      <c r="G922" s="11" t="str">
        <f t="shared" si="142"/>
        <v/>
      </c>
      <c r="H922" s="19" t="str">
        <f t="shared" si="139"/>
        <v/>
      </c>
      <c r="I922" s="21">
        <f t="shared" si="143"/>
        <v>0</v>
      </c>
      <c r="J922" s="21" t="e">
        <f t="shared" si="140"/>
        <v>#N/A</v>
      </c>
      <c r="K922" s="21" t="str">
        <f t="shared" si="144"/>
        <v/>
      </c>
    </row>
    <row r="923" spans="2:11" x14ac:dyDescent="0.25">
      <c r="B923" s="9" t="e">
        <f t="shared" si="145"/>
        <v>#N/A</v>
      </c>
      <c r="C923" s="10" t="e">
        <f t="shared" si="137"/>
        <v>#N/A</v>
      </c>
      <c r="D923" s="11" t="str">
        <f>IF(ISERROR(B923),"",bsolve($B923,$E$2,$E$4,$E$8,$E$9))</f>
        <v/>
      </c>
      <c r="E923" s="11" t="str">
        <f t="shared" si="138"/>
        <v/>
      </c>
      <c r="F923" s="11" t="str">
        <f t="shared" si="141"/>
        <v/>
      </c>
      <c r="G923" s="11" t="str">
        <f t="shared" si="142"/>
        <v/>
      </c>
      <c r="H923" s="19" t="str">
        <f t="shared" si="139"/>
        <v/>
      </c>
      <c r="I923" s="21">
        <f t="shared" si="143"/>
        <v>0</v>
      </c>
      <c r="J923" s="21" t="e">
        <f t="shared" si="140"/>
        <v>#N/A</v>
      </c>
      <c r="K923" s="21" t="str">
        <f t="shared" si="144"/>
        <v/>
      </c>
    </row>
    <row r="924" spans="2:11" x14ac:dyDescent="0.25">
      <c r="B924" s="9" t="e">
        <f t="shared" si="145"/>
        <v>#N/A</v>
      </c>
      <c r="C924" s="10" t="e">
        <f t="shared" si="137"/>
        <v>#N/A</v>
      </c>
      <c r="D924" s="11" t="str">
        <f>IF(ISERROR(B924),"",bsolve($B924,$E$2,$E$4,$E$8,$E$9))</f>
        <v/>
      </c>
      <c r="E924" s="11" t="str">
        <f t="shared" si="138"/>
        <v/>
      </c>
      <c r="F924" s="11" t="str">
        <f t="shared" si="141"/>
        <v/>
      </c>
      <c r="G924" s="11" t="str">
        <f t="shared" si="142"/>
        <v/>
      </c>
      <c r="H924" s="19" t="str">
        <f t="shared" si="139"/>
        <v/>
      </c>
      <c r="I924" s="21">
        <f t="shared" si="143"/>
        <v>0</v>
      </c>
      <c r="J924" s="21" t="e">
        <f t="shared" si="140"/>
        <v>#N/A</v>
      </c>
      <c r="K924" s="21" t="str">
        <f t="shared" si="144"/>
        <v/>
      </c>
    </row>
    <row r="925" spans="2:11" x14ac:dyDescent="0.25">
      <c r="B925" s="9" t="e">
        <f t="shared" si="145"/>
        <v>#N/A</v>
      </c>
      <c r="C925" s="10" t="e">
        <f t="shared" si="137"/>
        <v>#N/A</v>
      </c>
      <c r="D925" s="11" t="str">
        <f>IF(ISERROR(B925),"",bsolve($B925,$E$2,$E$4,$E$8,$E$9))</f>
        <v/>
      </c>
      <c r="E925" s="11" t="str">
        <f t="shared" si="138"/>
        <v/>
      </c>
      <c r="F925" s="11" t="str">
        <f t="shared" si="141"/>
        <v/>
      </c>
      <c r="G925" s="11" t="str">
        <f t="shared" si="142"/>
        <v/>
      </c>
      <c r="H925" s="19" t="str">
        <f t="shared" si="139"/>
        <v/>
      </c>
      <c r="I925" s="21">
        <f t="shared" si="143"/>
        <v>0</v>
      </c>
      <c r="J925" s="21" t="e">
        <f t="shared" si="140"/>
        <v>#N/A</v>
      </c>
      <c r="K925" s="21" t="str">
        <f t="shared" si="144"/>
        <v/>
      </c>
    </row>
    <row r="926" spans="2:11" x14ac:dyDescent="0.25">
      <c r="B926" s="9" t="e">
        <f t="shared" si="145"/>
        <v>#N/A</v>
      </c>
      <c r="C926" s="10" t="e">
        <f t="shared" si="137"/>
        <v>#N/A</v>
      </c>
      <c r="D926" s="11" t="str">
        <f>IF(ISERROR(B926),"",bsolve($B926,$E$2,$E$4,$E$8,$E$9))</f>
        <v/>
      </c>
      <c r="E926" s="11" t="str">
        <f t="shared" si="138"/>
        <v/>
      </c>
      <c r="F926" s="11" t="str">
        <f t="shared" si="141"/>
        <v/>
      </c>
      <c r="G926" s="11" t="str">
        <f t="shared" si="142"/>
        <v/>
      </c>
      <c r="H926" s="19" t="str">
        <f t="shared" si="139"/>
        <v/>
      </c>
      <c r="I926" s="21">
        <f t="shared" si="143"/>
        <v>0</v>
      </c>
      <c r="J926" s="21" t="e">
        <f t="shared" si="140"/>
        <v>#N/A</v>
      </c>
      <c r="K926" s="21" t="str">
        <f t="shared" si="144"/>
        <v/>
      </c>
    </row>
    <row r="927" spans="2:11" x14ac:dyDescent="0.25">
      <c r="B927" s="9" t="e">
        <f t="shared" si="145"/>
        <v>#N/A</v>
      </c>
      <c r="C927" s="10" t="e">
        <f t="shared" si="137"/>
        <v>#N/A</v>
      </c>
      <c r="D927" s="11" t="str">
        <f>IF(ISERROR(B927),"",bsolve($B927,$E$2,$E$4,$E$8,$E$9))</f>
        <v/>
      </c>
      <c r="E927" s="11" t="str">
        <f t="shared" si="138"/>
        <v/>
      </c>
      <c r="F927" s="11" t="str">
        <f t="shared" si="141"/>
        <v/>
      </c>
      <c r="G927" s="11" t="str">
        <f t="shared" si="142"/>
        <v/>
      </c>
      <c r="H927" s="19" t="str">
        <f t="shared" si="139"/>
        <v/>
      </c>
      <c r="I927" s="21">
        <f t="shared" si="143"/>
        <v>0</v>
      </c>
      <c r="J927" s="21" t="e">
        <f t="shared" si="140"/>
        <v>#N/A</v>
      </c>
      <c r="K927" s="21" t="str">
        <f t="shared" si="144"/>
        <v/>
      </c>
    </row>
    <row r="928" spans="2:11" x14ac:dyDescent="0.25">
      <c r="B928" s="9" t="e">
        <f t="shared" si="145"/>
        <v>#N/A</v>
      </c>
      <c r="C928" s="10" t="e">
        <f t="shared" si="137"/>
        <v>#N/A</v>
      </c>
      <c r="D928" s="11" t="str">
        <f>IF(ISERROR(B928),"",bsolve($B928,$E$2,$E$4,$E$8,$E$9))</f>
        <v/>
      </c>
      <c r="E928" s="11" t="str">
        <f t="shared" si="138"/>
        <v/>
      </c>
      <c r="F928" s="11" t="str">
        <f t="shared" si="141"/>
        <v/>
      </c>
      <c r="G928" s="11" t="str">
        <f t="shared" si="142"/>
        <v/>
      </c>
      <c r="H928" s="19" t="str">
        <f t="shared" si="139"/>
        <v/>
      </c>
      <c r="I928" s="21">
        <f t="shared" si="143"/>
        <v>0</v>
      </c>
      <c r="J928" s="21" t="e">
        <f t="shared" si="140"/>
        <v>#N/A</v>
      </c>
      <c r="K928" s="21" t="str">
        <f t="shared" si="144"/>
        <v/>
      </c>
    </row>
    <row r="929" spans="2:11" x14ac:dyDescent="0.25">
      <c r="B929" s="9" t="e">
        <f t="shared" si="145"/>
        <v>#N/A</v>
      </c>
      <c r="C929" s="10" t="e">
        <f t="shared" si="137"/>
        <v>#N/A</v>
      </c>
      <c r="D929" s="11" t="str">
        <f>IF(ISERROR(B929),"",bsolve($B929,$E$2,$E$4,$E$8,$E$9))</f>
        <v/>
      </c>
      <c r="E929" s="11" t="str">
        <f t="shared" si="138"/>
        <v/>
      </c>
      <c r="F929" s="11" t="str">
        <f t="shared" si="141"/>
        <v/>
      </c>
      <c r="G929" s="11" t="str">
        <f t="shared" si="142"/>
        <v/>
      </c>
      <c r="H929" s="19" t="str">
        <f t="shared" si="139"/>
        <v/>
      </c>
      <c r="I929" s="21">
        <f t="shared" si="143"/>
        <v>0</v>
      </c>
      <c r="J929" s="21" t="e">
        <f t="shared" si="140"/>
        <v>#N/A</v>
      </c>
      <c r="K929" s="21" t="str">
        <f t="shared" si="144"/>
        <v/>
      </c>
    </row>
    <row r="930" spans="2:11" x14ac:dyDescent="0.25">
      <c r="B930" s="9" t="e">
        <f t="shared" si="145"/>
        <v>#N/A</v>
      </c>
      <c r="C930" s="10" t="e">
        <f t="shared" si="137"/>
        <v>#N/A</v>
      </c>
      <c r="D930" s="11" t="str">
        <f>IF(ISERROR(B930),"",bsolve($B930,$E$2,$E$4,$E$8,$E$9))</f>
        <v/>
      </c>
      <c r="E930" s="11" t="str">
        <f t="shared" si="138"/>
        <v/>
      </c>
      <c r="F930" s="11" t="str">
        <f t="shared" si="141"/>
        <v/>
      </c>
      <c r="G930" s="11" t="str">
        <f t="shared" si="142"/>
        <v/>
      </c>
      <c r="H930" s="19" t="str">
        <f t="shared" si="139"/>
        <v/>
      </c>
      <c r="I930" s="21">
        <f t="shared" si="143"/>
        <v>0</v>
      </c>
      <c r="J930" s="21" t="e">
        <f t="shared" si="140"/>
        <v>#N/A</v>
      </c>
      <c r="K930" s="21" t="str">
        <f t="shared" si="144"/>
        <v/>
      </c>
    </row>
    <row r="931" spans="2:11" x14ac:dyDescent="0.25">
      <c r="B931" s="9" t="e">
        <f t="shared" si="145"/>
        <v>#N/A</v>
      </c>
      <c r="C931" s="10" t="e">
        <f t="shared" si="137"/>
        <v>#N/A</v>
      </c>
      <c r="D931" s="11" t="str">
        <f>IF(ISERROR(B931),"",bsolve($B931,$E$2,$E$4,$E$8,$E$9))</f>
        <v/>
      </c>
      <c r="E931" s="11" t="str">
        <f t="shared" si="138"/>
        <v/>
      </c>
      <c r="F931" s="11" t="str">
        <f t="shared" si="141"/>
        <v/>
      </c>
      <c r="G931" s="11" t="str">
        <f t="shared" si="142"/>
        <v/>
      </c>
      <c r="H931" s="19" t="str">
        <f t="shared" si="139"/>
        <v/>
      </c>
      <c r="I931" s="21">
        <f t="shared" si="143"/>
        <v>0</v>
      </c>
      <c r="J931" s="21" t="e">
        <f t="shared" si="140"/>
        <v>#N/A</v>
      </c>
      <c r="K931" s="21" t="str">
        <f t="shared" si="144"/>
        <v/>
      </c>
    </row>
    <row r="932" spans="2:11" x14ac:dyDescent="0.25">
      <c r="B932" s="9" t="e">
        <f t="shared" si="145"/>
        <v>#N/A</v>
      </c>
      <c r="C932" s="10" t="e">
        <f t="shared" si="137"/>
        <v>#N/A</v>
      </c>
      <c r="D932" s="11" t="str">
        <f>IF(ISERROR(B932),"",bsolve($B932,$E$2,$E$4,$E$8,$E$9))</f>
        <v/>
      </c>
      <c r="E932" s="11" t="str">
        <f t="shared" si="138"/>
        <v/>
      </c>
      <c r="F932" s="11" t="str">
        <f t="shared" si="141"/>
        <v/>
      </c>
      <c r="G932" s="11" t="str">
        <f t="shared" si="142"/>
        <v/>
      </c>
      <c r="H932" s="19" t="str">
        <f t="shared" si="139"/>
        <v/>
      </c>
      <c r="I932" s="21">
        <f t="shared" si="143"/>
        <v>0</v>
      </c>
      <c r="J932" s="21" t="e">
        <f t="shared" si="140"/>
        <v>#N/A</v>
      </c>
      <c r="K932" s="21" t="str">
        <f t="shared" si="144"/>
        <v/>
      </c>
    </row>
    <row r="933" spans="2:11" x14ac:dyDescent="0.25">
      <c r="B933" s="9" t="e">
        <f t="shared" si="145"/>
        <v>#N/A</v>
      </c>
      <c r="C933" s="10" t="e">
        <f t="shared" si="137"/>
        <v>#N/A</v>
      </c>
      <c r="D933" s="11" t="str">
        <f>IF(ISERROR(B933),"",bsolve($B933,$E$2,$E$4,$E$8,$E$9))</f>
        <v/>
      </c>
      <c r="E933" s="11" t="str">
        <f t="shared" si="138"/>
        <v/>
      </c>
      <c r="F933" s="11" t="str">
        <f t="shared" si="141"/>
        <v/>
      </c>
      <c r="G933" s="11" t="str">
        <f t="shared" si="142"/>
        <v/>
      </c>
      <c r="H933" s="19" t="str">
        <f t="shared" si="139"/>
        <v/>
      </c>
      <c r="I933" s="21">
        <f t="shared" si="143"/>
        <v>0</v>
      </c>
      <c r="J933" s="21" t="e">
        <f t="shared" si="140"/>
        <v>#N/A</v>
      </c>
      <c r="K933" s="21" t="str">
        <f t="shared" si="144"/>
        <v/>
      </c>
    </row>
    <row r="934" spans="2:11" x14ac:dyDescent="0.25">
      <c r="B934" s="9" t="e">
        <f t="shared" si="145"/>
        <v>#N/A</v>
      </c>
      <c r="C934" s="10" t="e">
        <f t="shared" si="137"/>
        <v>#N/A</v>
      </c>
      <c r="D934" s="11" t="str">
        <f>IF(ISERROR(B934),"",bsolve($B934,$E$2,$E$4,$E$8,$E$9))</f>
        <v/>
      </c>
      <c r="E934" s="11" t="str">
        <f t="shared" si="138"/>
        <v/>
      </c>
      <c r="F934" s="11" t="str">
        <f t="shared" si="141"/>
        <v/>
      </c>
      <c r="G934" s="11" t="str">
        <f t="shared" si="142"/>
        <v/>
      </c>
      <c r="H934" s="19" t="str">
        <f t="shared" si="139"/>
        <v/>
      </c>
      <c r="I934" s="21">
        <f t="shared" si="143"/>
        <v>0</v>
      </c>
      <c r="J934" s="21" t="e">
        <f t="shared" si="140"/>
        <v>#N/A</v>
      </c>
      <c r="K934" s="21" t="str">
        <f t="shared" si="144"/>
        <v/>
      </c>
    </row>
    <row r="935" spans="2:11" x14ac:dyDescent="0.25">
      <c r="B935" s="9" t="e">
        <f t="shared" si="145"/>
        <v>#N/A</v>
      </c>
      <c r="C935" s="10" t="e">
        <f t="shared" si="137"/>
        <v>#N/A</v>
      </c>
      <c r="D935" s="11" t="str">
        <f>IF(ISERROR(B935),"",bsolve($B935,$E$2,$E$4,$E$8,$E$9))</f>
        <v/>
      </c>
      <c r="E935" s="11" t="str">
        <f t="shared" si="138"/>
        <v/>
      </c>
      <c r="F935" s="11" t="str">
        <f t="shared" si="141"/>
        <v/>
      </c>
      <c r="G935" s="11" t="str">
        <f t="shared" si="142"/>
        <v/>
      </c>
      <c r="H935" s="19" t="str">
        <f t="shared" si="139"/>
        <v/>
      </c>
      <c r="I935" s="21">
        <f t="shared" si="143"/>
        <v>0</v>
      </c>
      <c r="J935" s="21" t="e">
        <f t="shared" si="140"/>
        <v>#N/A</v>
      </c>
      <c r="K935" s="21" t="str">
        <f t="shared" si="144"/>
        <v/>
      </c>
    </row>
    <row r="936" spans="2:11" x14ac:dyDescent="0.25">
      <c r="B936" s="9" t="e">
        <f t="shared" si="145"/>
        <v>#N/A</v>
      </c>
      <c r="C936" s="10" t="e">
        <f t="shared" si="137"/>
        <v>#N/A</v>
      </c>
      <c r="D936" s="11" t="str">
        <f>IF(ISERROR(B936),"",bsolve($B936,$E$2,$E$4,$E$8,$E$9))</f>
        <v/>
      </c>
      <c r="E936" s="11" t="str">
        <f t="shared" si="138"/>
        <v/>
      </c>
      <c r="F936" s="11" t="str">
        <f t="shared" si="141"/>
        <v/>
      </c>
      <c r="G936" s="11" t="str">
        <f t="shared" si="142"/>
        <v/>
      </c>
      <c r="H936" s="19" t="str">
        <f t="shared" si="139"/>
        <v/>
      </c>
      <c r="I936" s="21">
        <f t="shared" si="143"/>
        <v>0</v>
      </c>
      <c r="J936" s="21" t="e">
        <f t="shared" si="140"/>
        <v>#N/A</v>
      </c>
      <c r="K936" s="21" t="str">
        <f t="shared" si="144"/>
        <v/>
      </c>
    </row>
    <row r="937" spans="2:11" x14ac:dyDescent="0.25">
      <c r="B937" s="9" t="e">
        <f t="shared" si="145"/>
        <v>#N/A</v>
      </c>
      <c r="C937" s="10" t="e">
        <f t="shared" si="137"/>
        <v>#N/A</v>
      </c>
      <c r="D937" s="11" t="str">
        <f>IF(ISERROR(B937),"",bsolve($B937,$E$2,$E$4,$E$8,$E$9))</f>
        <v/>
      </c>
      <c r="E937" s="11" t="str">
        <f t="shared" si="138"/>
        <v/>
      </c>
      <c r="F937" s="11" t="str">
        <f t="shared" si="141"/>
        <v/>
      </c>
      <c r="G937" s="11" t="str">
        <f t="shared" si="142"/>
        <v/>
      </c>
      <c r="H937" s="19" t="str">
        <f t="shared" si="139"/>
        <v/>
      </c>
      <c r="I937" s="21">
        <f t="shared" si="143"/>
        <v>0</v>
      </c>
      <c r="J937" s="21" t="e">
        <f t="shared" si="140"/>
        <v>#N/A</v>
      </c>
      <c r="K937" s="21" t="str">
        <f t="shared" si="144"/>
        <v/>
      </c>
    </row>
    <row r="938" spans="2:11" x14ac:dyDescent="0.25">
      <c r="B938" s="9" t="e">
        <f t="shared" si="145"/>
        <v>#N/A</v>
      </c>
      <c r="C938" s="10" t="e">
        <f t="shared" si="137"/>
        <v>#N/A</v>
      </c>
      <c r="D938" s="11" t="str">
        <f>IF(ISERROR(B938),"",bsolve($B938,$E$2,$E$4,$E$8,$E$9))</f>
        <v/>
      </c>
      <c r="E938" s="11" t="str">
        <f t="shared" si="138"/>
        <v/>
      </c>
      <c r="F938" s="11" t="str">
        <f t="shared" si="141"/>
        <v/>
      </c>
      <c r="G938" s="11" t="str">
        <f t="shared" si="142"/>
        <v/>
      </c>
      <c r="H938" s="19" t="str">
        <f t="shared" si="139"/>
        <v/>
      </c>
      <c r="I938" s="21">
        <f t="shared" si="143"/>
        <v>0</v>
      </c>
      <c r="J938" s="21" t="e">
        <f t="shared" si="140"/>
        <v>#N/A</v>
      </c>
      <c r="K938" s="21" t="str">
        <f t="shared" si="144"/>
        <v/>
      </c>
    </row>
    <row r="939" spans="2:11" x14ac:dyDescent="0.25">
      <c r="B939" s="9" t="e">
        <f t="shared" si="145"/>
        <v>#N/A</v>
      </c>
      <c r="C939" s="10" t="e">
        <f t="shared" si="137"/>
        <v>#N/A</v>
      </c>
      <c r="D939" s="11" t="str">
        <f>IF(ISERROR(B939),"",bsolve($B939,$E$2,$E$4,$E$8,$E$9))</f>
        <v/>
      </c>
      <c r="E939" s="11" t="str">
        <f t="shared" si="138"/>
        <v/>
      </c>
      <c r="F939" s="11" t="str">
        <f t="shared" si="141"/>
        <v/>
      </c>
      <c r="G939" s="11" t="str">
        <f t="shared" si="142"/>
        <v/>
      </c>
      <c r="H939" s="19" t="str">
        <f t="shared" si="139"/>
        <v/>
      </c>
      <c r="I939" s="21">
        <f t="shared" si="143"/>
        <v>0</v>
      </c>
      <c r="J939" s="21" t="e">
        <f t="shared" si="140"/>
        <v>#N/A</v>
      </c>
      <c r="K939" s="21" t="str">
        <f t="shared" si="144"/>
        <v/>
      </c>
    </row>
    <row r="940" spans="2:11" x14ac:dyDescent="0.25">
      <c r="B940" s="9" t="e">
        <f t="shared" si="145"/>
        <v>#N/A</v>
      </c>
      <c r="C940" s="10" t="e">
        <f t="shared" si="137"/>
        <v>#N/A</v>
      </c>
      <c r="D940" s="11" t="str">
        <f>IF(ISERROR(B940),"",bsolve($B940,$E$2,$E$4,$E$8,$E$9))</f>
        <v/>
      </c>
      <c r="E940" s="11" t="str">
        <f t="shared" si="138"/>
        <v/>
      </c>
      <c r="F940" s="11" t="str">
        <f t="shared" si="141"/>
        <v/>
      </c>
      <c r="G940" s="11" t="str">
        <f t="shared" si="142"/>
        <v/>
      </c>
      <c r="H940" s="19" t="str">
        <f t="shared" si="139"/>
        <v/>
      </c>
      <c r="I940" s="21">
        <f t="shared" si="143"/>
        <v>0</v>
      </c>
      <c r="J940" s="21" t="e">
        <f t="shared" si="140"/>
        <v>#N/A</v>
      </c>
      <c r="K940" s="21" t="str">
        <f t="shared" si="144"/>
        <v/>
      </c>
    </row>
    <row r="941" spans="2:11" x14ac:dyDescent="0.25">
      <c r="B941" s="9" t="e">
        <f t="shared" si="145"/>
        <v>#N/A</v>
      </c>
      <c r="C941" s="10" t="e">
        <f t="shared" si="137"/>
        <v>#N/A</v>
      </c>
      <c r="D941" s="11" t="str">
        <f>IF(ISERROR(B941),"",bsolve($B941,$E$2,$E$4,$E$8,$E$9))</f>
        <v/>
      </c>
      <c r="E941" s="11" t="str">
        <f t="shared" si="138"/>
        <v/>
      </c>
      <c r="F941" s="11" t="str">
        <f t="shared" si="141"/>
        <v/>
      </c>
      <c r="G941" s="11" t="str">
        <f t="shared" si="142"/>
        <v/>
      </c>
      <c r="H941" s="19" t="str">
        <f t="shared" si="139"/>
        <v/>
      </c>
      <c r="I941" s="21">
        <f t="shared" si="143"/>
        <v>0</v>
      </c>
      <c r="J941" s="21" t="e">
        <f t="shared" si="140"/>
        <v>#N/A</v>
      </c>
      <c r="K941" s="21" t="str">
        <f t="shared" si="144"/>
        <v/>
      </c>
    </row>
    <row r="942" spans="2:11" x14ac:dyDescent="0.25">
      <c r="B942" s="9" t="e">
        <f t="shared" si="145"/>
        <v>#N/A</v>
      </c>
      <c r="C942" s="10" t="e">
        <f t="shared" si="137"/>
        <v>#N/A</v>
      </c>
      <c r="D942" s="11" t="str">
        <f>IF(ISERROR(B942),"",bsolve($B942,$E$2,$E$4,$E$8,$E$9))</f>
        <v/>
      </c>
      <c r="E942" s="11" t="str">
        <f t="shared" si="138"/>
        <v/>
      </c>
      <c r="F942" s="11" t="str">
        <f t="shared" si="141"/>
        <v/>
      </c>
      <c r="G942" s="11" t="str">
        <f t="shared" si="142"/>
        <v/>
      </c>
      <c r="H942" s="19" t="str">
        <f t="shared" si="139"/>
        <v/>
      </c>
      <c r="I942" s="21">
        <f t="shared" si="143"/>
        <v>0</v>
      </c>
      <c r="J942" s="21" t="e">
        <f t="shared" si="140"/>
        <v>#N/A</v>
      </c>
      <c r="K942" s="21" t="str">
        <f t="shared" si="144"/>
        <v/>
      </c>
    </row>
    <row r="943" spans="2:11" x14ac:dyDescent="0.25">
      <c r="B943" s="9" t="e">
        <f t="shared" si="145"/>
        <v>#N/A</v>
      </c>
      <c r="C943" s="10" t="e">
        <f t="shared" si="137"/>
        <v>#N/A</v>
      </c>
      <c r="D943" s="11" t="str">
        <f>IF(ISERROR(B943),"",bsolve($B943,$E$2,$E$4,$E$8,$E$9))</f>
        <v/>
      </c>
      <c r="E943" s="11" t="str">
        <f t="shared" si="138"/>
        <v/>
      </c>
      <c r="F943" s="11" t="str">
        <f t="shared" si="141"/>
        <v/>
      </c>
      <c r="G943" s="11" t="str">
        <f t="shared" si="142"/>
        <v/>
      </c>
      <c r="H943" s="19" t="str">
        <f t="shared" si="139"/>
        <v/>
      </c>
      <c r="I943" s="21">
        <f t="shared" si="143"/>
        <v>0</v>
      </c>
      <c r="J943" s="21" t="e">
        <f t="shared" si="140"/>
        <v>#N/A</v>
      </c>
      <c r="K943" s="21" t="str">
        <f t="shared" si="144"/>
        <v/>
      </c>
    </row>
    <row r="944" spans="2:11" x14ac:dyDescent="0.25">
      <c r="B944" s="9" t="e">
        <f t="shared" si="145"/>
        <v>#N/A</v>
      </c>
      <c r="C944" s="10" t="e">
        <f t="shared" si="137"/>
        <v>#N/A</v>
      </c>
      <c r="D944" s="11" t="str">
        <f>IF(ISERROR(B944),"",bsolve($B944,$E$2,$E$4,$E$8,$E$9))</f>
        <v/>
      </c>
      <c r="E944" s="11" t="str">
        <f t="shared" si="138"/>
        <v/>
      </c>
      <c r="F944" s="11" t="str">
        <f t="shared" si="141"/>
        <v/>
      </c>
      <c r="G944" s="11" t="str">
        <f t="shared" si="142"/>
        <v/>
      </c>
      <c r="H944" s="19" t="str">
        <f t="shared" si="139"/>
        <v/>
      </c>
      <c r="I944" s="21">
        <f t="shared" si="143"/>
        <v>0</v>
      </c>
      <c r="J944" s="21" t="e">
        <f t="shared" si="140"/>
        <v>#N/A</v>
      </c>
      <c r="K944" s="21" t="str">
        <f t="shared" si="144"/>
        <v/>
      </c>
    </row>
    <row r="945" spans="2:11" x14ac:dyDescent="0.25">
      <c r="B945" s="9" t="e">
        <f t="shared" si="145"/>
        <v>#N/A</v>
      </c>
      <c r="C945" s="10" t="e">
        <f t="shared" si="137"/>
        <v>#N/A</v>
      </c>
      <c r="D945" s="11" t="str">
        <f>IF(ISERROR(B945),"",bsolve($B945,$E$2,$E$4,$E$8,$E$9))</f>
        <v/>
      </c>
      <c r="E945" s="11" t="str">
        <f t="shared" si="138"/>
        <v/>
      </c>
      <c r="F945" s="11" t="str">
        <f t="shared" si="141"/>
        <v/>
      </c>
      <c r="G945" s="11" t="str">
        <f t="shared" si="142"/>
        <v/>
      </c>
      <c r="H945" s="19" t="str">
        <f t="shared" si="139"/>
        <v/>
      </c>
      <c r="I945" s="21">
        <f t="shared" si="143"/>
        <v>0</v>
      </c>
      <c r="J945" s="21" t="e">
        <f t="shared" si="140"/>
        <v>#N/A</v>
      </c>
      <c r="K945" s="21" t="str">
        <f t="shared" si="144"/>
        <v/>
      </c>
    </row>
    <row r="946" spans="2:11" x14ac:dyDescent="0.25">
      <c r="B946" s="9" t="e">
        <f t="shared" si="145"/>
        <v>#N/A</v>
      </c>
      <c r="C946" s="10" t="e">
        <f t="shared" si="137"/>
        <v>#N/A</v>
      </c>
      <c r="D946" s="11" t="str">
        <f>IF(ISERROR(B946),"",bsolve($B946,$E$2,$E$4,$E$8,$E$9))</f>
        <v/>
      </c>
      <c r="E946" s="11" t="str">
        <f t="shared" si="138"/>
        <v/>
      </c>
      <c r="F946" s="11" t="str">
        <f t="shared" si="141"/>
        <v/>
      </c>
      <c r="G946" s="11" t="str">
        <f t="shared" si="142"/>
        <v/>
      </c>
      <c r="H946" s="19" t="str">
        <f t="shared" si="139"/>
        <v/>
      </c>
      <c r="I946" s="21">
        <f t="shared" si="143"/>
        <v>0</v>
      </c>
      <c r="J946" s="21" t="e">
        <f t="shared" si="140"/>
        <v>#N/A</v>
      </c>
      <c r="K946" s="21" t="str">
        <f t="shared" si="144"/>
        <v/>
      </c>
    </row>
    <row r="947" spans="2:11" x14ac:dyDescent="0.25">
      <c r="B947" s="9" t="e">
        <f t="shared" si="145"/>
        <v>#N/A</v>
      </c>
      <c r="C947" s="10" t="e">
        <f t="shared" si="137"/>
        <v>#N/A</v>
      </c>
      <c r="D947" s="11" t="str">
        <f>IF(ISERROR(B947),"",bsolve($B947,$E$2,$E$4,$E$8,$E$9))</f>
        <v/>
      </c>
      <c r="E947" s="11" t="str">
        <f t="shared" si="138"/>
        <v/>
      </c>
      <c r="F947" s="11" t="str">
        <f t="shared" si="141"/>
        <v/>
      </c>
      <c r="G947" s="11" t="str">
        <f t="shared" si="142"/>
        <v/>
      </c>
      <c r="H947" s="19" t="str">
        <f t="shared" si="139"/>
        <v/>
      </c>
      <c r="I947" s="21">
        <f t="shared" si="143"/>
        <v>0</v>
      </c>
      <c r="J947" s="21" t="e">
        <f t="shared" si="140"/>
        <v>#N/A</v>
      </c>
      <c r="K947" s="21" t="str">
        <f t="shared" si="144"/>
        <v/>
      </c>
    </row>
    <row r="948" spans="2:11" x14ac:dyDescent="0.25">
      <c r="B948" s="9" t="e">
        <f t="shared" si="145"/>
        <v>#N/A</v>
      </c>
      <c r="C948" s="10" t="e">
        <f t="shared" si="137"/>
        <v>#N/A</v>
      </c>
      <c r="D948" s="11" t="str">
        <f>IF(ISERROR(B948),"",bsolve($B948,$E$2,$E$4,$E$8,$E$9))</f>
        <v/>
      </c>
      <c r="E948" s="11" t="str">
        <f t="shared" si="138"/>
        <v/>
      </c>
      <c r="F948" s="11" t="str">
        <f t="shared" si="141"/>
        <v/>
      </c>
      <c r="G948" s="11" t="str">
        <f t="shared" si="142"/>
        <v/>
      </c>
      <c r="H948" s="19" t="str">
        <f t="shared" si="139"/>
        <v/>
      </c>
      <c r="I948" s="21">
        <f t="shared" si="143"/>
        <v>0</v>
      </c>
      <c r="J948" s="21" t="e">
        <f t="shared" si="140"/>
        <v>#N/A</v>
      </c>
      <c r="K948" s="21" t="str">
        <f t="shared" si="144"/>
        <v/>
      </c>
    </row>
    <row r="949" spans="2:11" x14ac:dyDescent="0.25">
      <c r="B949" s="9" t="e">
        <f t="shared" si="145"/>
        <v>#N/A</v>
      </c>
      <c r="C949" s="10" t="e">
        <f t="shared" si="137"/>
        <v>#N/A</v>
      </c>
      <c r="D949" s="11" t="str">
        <f>IF(ISERROR(B949),"",bsolve($B949,$E$2,$E$4,$E$8,$E$9))</f>
        <v/>
      </c>
      <c r="E949" s="11" t="str">
        <f t="shared" si="138"/>
        <v/>
      </c>
      <c r="F949" s="11" t="str">
        <f t="shared" si="141"/>
        <v/>
      </c>
      <c r="G949" s="11" t="str">
        <f t="shared" si="142"/>
        <v/>
      </c>
      <c r="H949" s="19" t="str">
        <f t="shared" si="139"/>
        <v/>
      </c>
      <c r="I949" s="21">
        <f t="shared" si="143"/>
        <v>0</v>
      </c>
      <c r="J949" s="21" t="e">
        <f t="shared" si="140"/>
        <v>#N/A</v>
      </c>
      <c r="K949" s="21" t="str">
        <f t="shared" si="144"/>
        <v/>
      </c>
    </row>
    <row r="950" spans="2:11" x14ac:dyDescent="0.25">
      <c r="B950" s="9" t="e">
        <f t="shared" si="145"/>
        <v>#N/A</v>
      </c>
      <c r="C950" s="10" t="e">
        <f t="shared" si="137"/>
        <v>#N/A</v>
      </c>
      <c r="D950" s="11" t="str">
        <f>IF(ISERROR(B950),"",bsolve($B950,$E$2,$E$4,$E$8,$E$9))</f>
        <v/>
      </c>
      <c r="E950" s="11" t="str">
        <f t="shared" si="138"/>
        <v/>
      </c>
      <c r="F950" s="11" t="str">
        <f t="shared" si="141"/>
        <v/>
      </c>
      <c r="G950" s="11" t="str">
        <f t="shared" si="142"/>
        <v/>
      </c>
      <c r="H950" s="19" t="str">
        <f t="shared" si="139"/>
        <v/>
      </c>
      <c r="I950" s="21">
        <f t="shared" si="143"/>
        <v>0</v>
      </c>
      <c r="J950" s="21" t="e">
        <f t="shared" si="140"/>
        <v>#N/A</v>
      </c>
      <c r="K950" s="21" t="str">
        <f t="shared" si="144"/>
        <v/>
      </c>
    </row>
    <row r="951" spans="2:11" x14ac:dyDescent="0.25">
      <c r="B951" s="9" t="e">
        <f t="shared" si="145"/>
        <v>#N/A</v>
      </c>
      <c r="C951" s="10" t="e">
        <f t="shared" si="137"/>
        <v>#N/A</v>
      </c>
      <c r="D951" s="11" t="str">
        <f>IF(ISERROR(B951),"",bsolve($B951,$E$2,$E$4,$E$8,$E$9))</f>
        <v/>
      </c>
      <c r="E951" s="11" t="str">
        <f t="shared" si="138"/>
        <v/>
      </c>
      <c r="F951" s="11" t="str">
        <f t="shared" si="141"/>
        <v/>
      </c>
      <c r="G951" s="11" t="str">
        <f t="shared" si="142"/>
        <v/>
      </c>
      <c r="H951" s="19" t="str">
        <f t="shared" si="139"/>
        <v/>
      </c>
      <c r="I951" s="21">
        <f t="shared" si="143"/>
        <v>0</v>
      </c>
      <c r="J951" s="21" t="e">
        <f t="shared" si="140"/>
        <v>#N/A</v>
      </c>
      <c r="K951" s="21" t="str">
        <f t="shared" si="144"/>
        <v/>
      </c>
    </row>
    <row r="952" spans="2:11" x14ac:dyDescent="0.25">
      <c r="B952" s="9" t="e">
        <f t="shared" si="145"/>
        <v>#N/A</v>
      </c>
      <c r="C952" s="10" t="e">
        <f t="shared" si="137"/>
        <v>#N/A</v>
      </c>
      <c r="D952" s="11" t="str">
        <f>IF(ISERROR(B952),"",bsolve($B952,$E$2,$E$4,$E$8,$E$9))</f>
        <v/>
      </c>
      <c r="E952" s="11" t="str">
        <f t="shared" si="138"/>
        <v/>
      </c>
      <c r="F952" s="11" t="str">
        <f t="shared" si="141"/>
        <v/>
      </c>
      <c r="G952" s="11" t="str">
        <f t="shared" si="142"/>
        <v/>
      </c>
      <c r="H952" s="19" t="str">
        <f t="shared" si="139"/>
        <v/>
      </c>
      <c r="I952" s="21">
        <f t="shared" si="143"/>
        <v>0</v>
      </c>
      <c r="J952" s="21" t="e">
        <f t="shared" si="140"/>
        <v>#N/A</v>
      </c>
      <c r="K952" s="21" t="str">
        <f t="shared" si="144"/>
        <v/>
      </c>
    </row>
    <row r="953" spans="2:11" x14ac:dyDescent="0.25">
      <c r="B953" s="9" t="e">
        <f t="shared" si="145"/>
        <v>#N/A</v>
      </c>
      <c r="C953" s="10" t="e">
        <f t="shared" si="137"/>
        <v>#N/A</v>
      </c>
      <c r="D953" s="11" t="str">
        <f>IF(ISERROR(B953),"",bsolve($B953,$E$2,$E$4,$E$8,$E$9))</f>
        <v/>
      </c>
      <c r="E953" s="11" t="str">
        <f t="shared" si="138"/>
        <v/>
      </c>
      <c r="F953" s="11" t="str">
        <f t="shared" si="141"/>
        <v/>
      </c>
      <c r="G953" s="11" t="str">
        <f t="shared" si="142"/>
        <v/>
      </c>
      <c r="H953" s="19" t="str">
        <f t="shared" si="139"/>
        <v/>
      </c>
      <c r="I953" s="21">
        <f t="shared" si="143"/>
        <v>0</v>
      </c>
      <c r="J953" s="21" t="e">
        <f t="shared" si="140"/>
        <v>#N/A</v>
      </c>
      <c r="K953" s="21" t="str">
        <f t="shared" si="144"/>
        <v/>
      </c>
    </row>
    <row r="954" spans="2:11" x14ac:dyDescent="0.25">
      <c r="B954" s="9" t="e">
        <f t="shared" si="145"/>
        <v>#N/A</v>
      </c>
      <c r="C954" s="10" t="e">
        <f t="shared" si="137"/>
        <v>#N/A</v>
      </c>
      <c r="D954" s="11" t="str">
        <f>IF(ISERROR(B954),"",bsolve($B954,$E$2,$E$4,$E$8,$E$9))</f>
        <v/>
      </c>
      <c r="E954" s="11" t="str">
        <f t="shared" si="138"/>
        <v/>
      </c>
      <c r="F954" s="11" t="str">
        <f t="shared" si="141"/>
        <v/>
      </c>
      <c r="G954" s="11" t="str">
        <f t="shared" si="142"/>
        <v/>
      </c>
      <c r="H954" s="19" t="str">
        <f t="shared" si="139"/>
        <v/>
      </c>
      <c r="I954" s="21">
        <f t="shared" si="143"/>
        <v>0</v>
      </c>
      <c r="J954" s="21" t="e">
        <f t="shared" si="140"/>
        <v>#N/A</v>
      </c>
      <c r="K954" s="21" t="str">
        <f t="shared" si="144"/>
        <v/>
      </c>
    </row>
    <row r="955" spans="2:11" x14ac:dyDescent="0.25">
      <c r="B955" s="9" t="e">
        <f t="shared" si="145"/>
        <v>#N/A</v>
      </c>
      <c r="C955" s="10" t="e">
        <f t="shared" si="137"/>
        <v>#N/A</v>
      </c>
      <c r="D955" s="11" t="str">
        <f>IF(ISERROR(B955),"",bsolve($B955,$E$2,$E$4,$E$8,$E$9))</f>
        <v/>
      </c>
      <c r="E955" s="11" t="str">
        <f t="shared" si="138"/>
        <v/>
      </c>
      <c r="F955" s="11" t="str">
        <f t="shared" si="141"/>
        <v/>
      </c>
      <c r="G955" s="11" t="str">
        <f t="shared" si="142"/>
        <v/>
      </c>
      <c r="H955" s="19" t="str">
        <f t="shared" si="139"/>
        <v/>
      </c>
      <c r="I955" s="21">
        <f t="shared" si="143"/>
        <v>0</v>
      </c>
      <c r="J955" s="21" t="e">
        <f t="shared" si="140"/>
        <v>#N/A</v>
      </c>
      <c r="K955" s="21" t="str">
        <f t="shared" si="144"/>
        <v/>
      </c>
    </row>
    <row r="956" spans="2:11" x14ac:dyDescent="0.25">
      <c r="B956" s="9" t="e">
        <f t="shared" si="145"/>
        <v>#N/A</v>
      </c>
      <c r="C956" s="10" t="e">
        <f t="shared" si="137"/>
        <v>#N/A</v>
      </c>
      <c r="D956" s="11" t="str">
        <f>IF(ISERROR(B956),"",bsolve($B956,$E$2,$E$4,$E$8,$E$9))</f>
        <v/>
      </c>
      <c r="E956" s="11" t="str">
        <f t="shared" si="138"/>
        <v/>
      </c>
      <c r="F956" s="11" t="str">
        <f t="shared" si="141"/>
        <v/>
      </c>
      <c r="G956" s="11" t="str">
        <f t="shared" si="142"/>
        <v/>
      </c>
      <c r="H956" s="19" t="str">
        <f t="shared" si="139"/>
        <v/>
      </c>
      <c r="I956" s="21">
        <f t="shared" si="143"/>
        <v>0</v>
      </c>
      <c r="J956" s="21" t="e">
        <f t="shared" si="140"/>
        <v>#N/A</v>
      </c>
      <c r="K956" s="21" t="str">
        <f t="shared" si="144"/>
        <v/>
      </c>
    </row>
    <row r="957" spans="2:11" x14ac:dyDescent="0.25">
      <c r="B957" s="9" t="e">
        <f t="shared" si="145"/>
        <v>#N/A</v>
      </c>
      <c r="C957" s="10" t="e">
        <f t="shared" si="137"/>
        <v>#N/A</v>
      </c>
      <c r="D957" s="11" t="str">
        <f>IF(ISERROR(B957),"",bsolve($B957,$E$2,$E$4,$E$8,$E$9))</f>
        <v/>
      </c>
      <c r="E957" s="11" t="str">
        <f t="shared" si="138"/>
        <v/>
      </c>
      <c r="F957" s="11" t="str">
        <f t="shared" si="141"/>
        <v/>
      </c>
      <c r="G957" s="11" t="str">
        <f t="shared" si="142"/>
        <v/>
      </c>
      <c r="H957" s="19" t="str">
        <f t="shared" si="139"/>
        <v/>
      </c>
      <c r="I957" s="21">
        <f t="shared" si="143"/>
        <v>0</v>
      </c>
      <c r="J957" s="21" t="e">
        <f t="shared" si="140"/>
        <v>#N/A</v>
      </c>
      <c r="K957" s="21" t="str">
        <f t="shared" si="144"/>
        <v/>
      </c>
    </row>
    <row r="958" spans="2:11" x14ac:dyDescent="0.25">
      <c r="B958" s="9" t="e">
        <f t="shared" si="145"/>
        <v>#N/A</v>
      </c>
      <c r="C958" s="10" t="e">
        <f t="shared" si="137"/>
        <v>#N/A</v>
      </c>
      <c r="D958" s="11" t="str">
        <f>IF(ISERROR(B958),"",bsolve($B958,$E$2,$E$4,$E$8,$E$9))</f>
        <v/>
      </c>
      <c r="E958" s="11" t="str">
        <f t="shared" si="138"/>
        <v/>
      </c>
      <c r="F958" s="11" t="str">
        <f t="shared" si="141"/>
        <v/>
      </c>
      <c r="G958" s="11" t="str">
        <f t="shared" si="142"/>
        <v/>
      </c>
      <c r="H958" s="19" t="str">
        <f t="shared" si="139"/>
        <v/>
      </c>
      <c r="I958" s="21">
        <f t="shared" si="143"/>
        <v>0</v>
      </c>
      <c r="J958" s="21" t="e">
        <f t="shared" si="140"/>
        <v>#N/A</v>
      </c>
      <c r="K958" s="21" t="str">
        <f t="shared" si="144"/>
        <v/>
      </c>
    </row>
    <row r="959" spans="2:11" x14ac:dyDescent="0.25">
      <c r="B959" s="9" t="e">
        <f t="shared" si="145"/>
        <v>#N/A</v>
      </c>
      <c r="C959" s="10" t="e">
        <f t="shared" si="137"/>
        <v>#N/A</v>
      </c>
      <c r="D959" s="11" t="str">
        <f>IF(ISERROR(B959),"",bsolve($B959,$E$2,$E$4,$E$8,$E$9))</f>
        <v/>
      </c>
      <c r="E959" s="11" t="str">
        <f t="shared" si="138"/>
        <v/>
      </c>
      <c r="F959" s="11" t="str">
        <f t="shared" si="141"/>
        <v/>
      </c>
      <c r="G959" s="11" t="str">
        <f t="shared" si="142"/>
        <v/>
      </c>
      <c r="H959" s="19" t="str">
        <f t="shared" si="139"/>
        <v/>
      </c>
      <c r="I959" s="21">
        <f t="shared" si="143"/>
        <v>0</v>
      </c>
      <c r="J959" s="21" t="e">
        <f t="shared" si="140"/>
        <v>#N/A</v>
      </c>
      <c r="K959" s="21" t="str">
        <f t="shared" si="144"/>
        <v/>
      </c>
    </row>
    <row r="960" spans="2:11" x14ac:dyDescent="0.25">
      <c r="B960" s="9" t="e">
        <f t="shared" si="145"/>
        <v>#N/A</v>
      </c>
      <c r="C960" s="10" t="e">
        <f t="shared" si="137"/>
        <v>#N/A</v>
      </c>
      <c r="D960" s="11" t="str">
        <f>IF(ISERROR(B960),"",bsolve($B960,$E$2,$E$4,$E$8,$E$9))</f>
        <v/>
      </c>
      <c r="E960" s="11" t="str">
        <f t="shared" si="138"/>
        <v/>
      </c>
      <c r="F960" s="11" t="str">
        <f t="shared" si="141"/>
        <v/>
      </c>
      <c r="G960" s="11" t="str">
        <f t="shared" si="142"/>
        <v/>
      </c>
      <c r="H960" s="19" t="str">
        <f t="shared" si="139"/>
        <v/>
      </c>
      <c r="I960" s="21">
        <f t="shared" si="143"/>
        <v>0</v>
      </c>
      <c r="J960" s="21" t="e">
        <f t="shared" si="140"/>
        <v>#N/A</v>
      </c>
      <c r="K960" s="21" t="str">
        <f t="shared" si="144"/>
        <v/>
      </c>
    </row>
    <row r="961" spans="2:11" x14ac:dyDescent="0.25">
      <c r="B961" s="9" t="e">
        <f t="shared" si="145"/>
        <v>#N/A</v>
      </c>
      <c r="C961" s="10" t="e">
        <f t="shared" si="137"/>
        <v>#N/A</v>
      </c>
      <c r="D961" s="11" t="str">
        <f>IF(ISERROR(B961),"",bsolve($B961,$E$2,$E$4,$E$8,$E$9))</f>
        <v/>
      </c>
      <c r="E961" s="11" t="str">
        <f t="shared" si="138"/>
        <v/>
      </c>
      <c r="F961" s="11" t="str">
        <f t="shared" si="141"/>
        <v/>
      </c>
      <c r="G961" s="11" t="str">
        <f t="shared" si="142"/>
        <v/>
      </c>
      <c r="H961" s="19" t="str">
        <f t="shared" si="139"/>
        <v/>
      </c>
      <c r="I961" s="21">
        <f t="shared" si="143"/>
        <v>0</v>
      </c>
      <c r="J961" s="21" t="e">
        <f t="shared" si="140"/>
        <v>#N/A</v>
      </c>
      <c r="K961" s="21" t="str">
        <f t="shared" si="144"/>
        <v/>
      </c>
    </row>
    <row r="962" spans="2:11" x14ac:dyDescent="0.25">
      <c r="B962" s="9" t="e">
        <f t="shared" si="145"/>
        <v>#N/A</v>
      </c>
      <c r="C962" s="10" t="e">
        <f t="shared" si="137"/>
        <v>#N/A</v>
      </c>
      <c r="D962" s="11" t="str">
        <f>IF(ISERROR(B962),"",bsolve($B962,$E$2,$E$4,$E$8,$E$9))</f>
        <v/>
      </c>
      <c r="E962" s="11" t="str">
        <f t="shared" si="138"/>
        <v/>
      </c>
      <c r="F962" s="11" t="str">
        <f t="shared" si="141"/>
        <v/>
      </c>
      <c r="G962" s="11" t="str">
        <f t="shared" si="142"/>
        <v/>
      </c>
      <c r="H962" s="19" t="str">
        <f t="shared" si="139"/>
        <v/>
      </c>
      <c r="I962" s="21">
        <f t="shared" si="143"/>
        <v>0</v>
      </c>
      <c r="J962" s="21" t="e">
        <f t="shared" si="140"/>
        <v>#N/A</v>
      </c>
      <c r="K962" s="21" t="str">
        <f t="shared" si="144"/>
        <v/>
      </c>
    </row>
    <row r="963" spans="2:11" x14ac:dyDescent="0.25">
      <c r="B963" s="9" t="e">
        <f t="shared" si="145"/>
        <v>#N/A</v>
      </c>
      <c r="C963" s="10" t="e">
        <f t="shared" si="137"/>
        <v>#N/A</v>
      </c>
      <c r="D963" s="11" t="str">
        <f>IF(ISERROR(B963),"",bsolve($B963,$E$2,$E$4,$E$8,$E$9))</f>
        <v/>
      </c>
      <c r="E963" s="11" t="str">
        <f t="shared" si="138"/>
        <v/>
      </c>
      <c r="F963" s="11" t="str">
        <f t="shared" si="141"/>
        <v/>
      </c>
      <c r="G963" s="11" t="str">
        <f t="shared" si="142"/>
        <v/>
      </c>
      <c r="H963" s="19" t="str">
        <f t="shared" si="139"/>
        <v/>
      </c>
      <c r="I963" s="21">
        <f t="shared" si="143"/>
        <v>0</v>
      </c>
      <c r="J963" s="21" t="e">
        <f t="shared" si="140"/>
        <v>#N/A</v>
      </c>
      <c r="K963" s="21" t="str">
        <f t="shared" si="144"/>
        <v/>
      </c>
    </row>
    <row r="964" spans="2:11" x14ac:dyDescent="0.25">
      <c r="B964" s="9" t="e">
        <f t="shared" si="145"/>
        <v>#N/A</v>
      </c>
      <c r="C964" s="10" t="e">
        <f t="shared" si="137"/>
        <v>#N/A</v>
      </c>
      <c r="D964" s="11" t="str">
        <f>IF(ISERROR(B964),"",bsolve($B964,$E$2,$E$4,$E$8,$E$9))</f>
        <v/>
      </c>
      <c r="E964" s="11" t="str">
        <f t="shared" si="138"/>
        <v/>
      </c>
      <c r="F964" s="11" t="str">
        <f t="shared" si="141"/>
        <v/>
      </c>
      <c r="G964" s="11" t="str">
        <f t="shared" si="142"/>
        <v/>
      </c>
      <c r="H964" s="19" t="str">
        <f t="shared" si="139"/>
        <v/>
      </c>
      <c r="I964" s="21">
        <f t="shared" si="143"/>
        <v>0</v>
      </c>
      <c r="J964" s="21" t="e">
        <f t="shared" si="140"/>
        <v>#N/A</v>
      </c>
      <c r="K964" s="21" t="str">
        <f t="shared" si="144"/>
        <v/>
      </c>
    </row>
    <row r="965" spans="2:11" x14ac:dyDescent="0.25">
      <c r="B965" s="9" t="e">
        <f t="shared" si="145"/>
        <v>#N/A</v>
      </c>
      <c r="C965" s="10" t="e">
        <f t="shared" si="137"/>
        <v>#N/A</v>
      </c>
      <c r="D965" s="11" t="str">
        <f>IF(ISERROR(B965),"",bsolve($B965,$E$2,$E$4,$E$8,$E$9))</f>
        <v/>
      </c>
      <c r="E965" s="11" t="str">
        <f t="shared" si="138"/>
        <v/>
      </c>
      <c r="F965" s="11" t="str">
        <f t="shared" si="141"/>
        <v/>
      </c>
      <c r="G965" s="11" t="str">
        <f t="shared" si="142"/>
        <v/>
      </c>
      <c r="H965" s="19" t="str">
        <f t="shared" si="139"/>
        <v/>
      </c>
      <c r="I965" s="21">
        <f t="shared" si="143"/>
        <v>0</v>
      </c>
      <c r="J965" s="21" t="e">
        <f t="shared" si="140"/>
        <v>#N/A</v>
      </c>
      <c r="K965" s="21" t="str">
        <f t="shared" si="144"/>
        <v/>
      </c>
    </row>
    <row r="966" spans="2:11" x14ac:dyDescent="0.25">
      <c r="B966" s="9" t="e">
        <f t="shared" si="145"/>
        <v>#N/A</v>
      </c>
      <c r="C966" s="10" t="e">
        <f t="shared" si="137"/>
        <v>#N/A</v>
      </c>
      <c r="D966" s="11" t="str">
        <f>IF(ISERROR(B966),"",bsolve($B966,$E$2,$E$4,$E$8,$E$9))</f>
        <v/>
      </c>
      <c r="E966" s="11" t="str">
        <f t="shared" si="138"/>
        <v/>
      </c>
      <c r="F966" s="11" t="str">
        <f t="shared" si="141"/>
        <v/>
      </c>
      <c r="G966" s="11" t="str">
        <f t="shared" si="142"/>
        <v/>
      </c>
      <c r="H966" s="19" t="str">
        <f t="shared" si="139"/>
        <v/>
      </c>
      <c r="I966" s="21">
        <f t="shared" si="143"/>
        <v>0</v>
      </c>
      <c r="J966" s="21" t="e">
        <f t="shared" si="140"/>
        <v>#N/A</v>
      </c>
      <c r="K966" s="21" t="str">
        <f t="shared" si="144"/>
        <v/>
      </c>
    </row>
    <row r="967" spans="2:11" x14ac:dyDescent="0.25">
      <c r="B967" s="9" t="e">
        <f t="shared" si="145"/>
        <v>#N/A</v>
      </c>
      <c r="C967" s="10" t="e">
        <f t="shared" si="137"/>
        <v>#N/A</v>
      </c>
      <c r="D967" s="11" t="str">
        <f>IF(ISERROR(B967),"",bsolve($B967,$E$2,$E$4,$E$8,$E$9))</f>
        <v/>
      </c>
      <c r="E967" s="11" t="str">
        <f t="shared" si="138"/>
        <v/>
      </c>
      <c r="F967" s="11" t="str">
        <f t="shared" si="141"/>
        <v/>
      </c>
      <c r="G967" s="11" t="str">
        <f t="shared" si="142"/>
        <v/>
      </c>
      <c r="H967" s="19" t="str">
        <f t="shared" si="139"/>
        <v/>
      </c>
      <c r="I967" s="21">
        <f t="shared" si="143"/>
        <v>0</v>
      </c>
      <c r="J967" s="21" t="e">
        <f t="shared" si="140"/>
        <v>#N/A</v>
      </c>
      <c r="K967" s="21" t="str">
        <f t="shared" si="144"/>
        <v/>
      </c>
    </row>
    <row r="968" spans="2:11" x14ac:dyDescent="0.25">
      <c r="B968" s="9" t="e">
        <f t="shared" si="145"/>
        <v>#N/A</v>
      </c>
      <c r="C968" s="10" t="e">
        <f t="shared" si="137"/>
        <v>#N/A</v>
      </c>
      <c r="D968" s="11" t="str">
        <f>IF(ISERROR(B968),"",bsolve($B968,$E$2,$E$4,$E$8,$E$9))</f>
        <v/>
      </c>
      <c r="E968" s="11" t="str">
        <f t="shared" si="138"/>
        <v/>
      </c>
      <c r="F968" s="11" t="str">
        <f t="shared" si="141"/>
        <v/>
      </c>
      <c r="G968" s="11" t="str">
        <f t="shared" si="142"/>
        <v/>
      </c>
      <c r="H968" s="19" t="str">
        <f t="shared" si="139"/>
        <v/>
      </c>
      <c r="I968" s="21">
        <f t="shared" si="143"/>
        <v>0</v>
      </c>
      <c r="J968" s="21" t="e">
        <f t="shared" si="140"/>
        <v>#N/A</v>
      </c>
      <c r="K968" s="21" t="str">
        <f t="shared" si="144"/>
        <v/>
      </c>
    </row>
    <row r="969" spans="2:11" x14ac:dyDescent="0.25">
      <c r="B969" s="9" t="e">
        <f t="shared" si="145"/>
        <v>#N/A</v>
      </c>
      <c r="C969" s="10" t="e">
        <f t="shared" si="137"/>
        <v>#N/A</v>
      </c>
      <c r="D969" s="11" t="str">
        <f>IF(ISERROR(B969),"",bsolve($B969,$E$2,$E$4,$E$8,$E$9))</f>
        <v/>
      </c>
      <c r="E969" s="11" t="str">
        <f t="shared" si="138"/>
        <v/>
      </c>
      <c r="F969" s="11" t="str">
        <f t="shared" si="141"/>
        <v/>
      </c>
      <c r="G969" s="11" t="str">
        <f t="shared" si="142"/>
        <v/>
      </c>
      <c r="H969" s="19" t="str">
        <f t="shared" si="139"/>
        <v/>
      </c>
      <c r="I969" s="21">
        <f t="shared" si="143"/>
        <v>0</v>
      </c>
      <c r="J969" s="21" t="e">
        <f t="shared" si="140"/>
        <v>#N/A</v>
      </c>
      <c r="K969" s="21" t="str">
        <f t="shared" si="144"/>
        <v/>
      </c>
    </row>
    <row r="970" spans="2:11" x14ac:dyDescent="0.25">
      <c r="B970" s="9" t="e">
        <f t="shared" si="145"/>
        <v>#N/A</v>
      </c>
      <c r="C970" s="10" t="e">
        <f t="shared" si="137"/>
        <v>#N/A</v>
      </c>
      <c r="D970" s="11" t="str">
        <f>IF(ISERROR(B970),"",bsolve($B970,$E$2,$E$4,$E$8,$E$9))</f>
        <v/>
      </c>
      <c r="E970" s="11" t="str">
        <f t="shared" si="138"/>
        <v/>
      </c>
      <c r="F970" s="11" t="str">
        <f t="shared" si="141"/>
        <v/>
      </c>
      <c r="G970" s="11" t="str">
        <f t="shared" si="142"/>
        <v/>
      </c>
      <c r="H970" s="19" t="str">
        <f t="shared" si="139"/>
        <v/>
      </c>
      <c r="I970" s="21">
        <f t="shared" si="143"/>
        <v>0</v>
      </c>
      <c r="J970" s="21" t="e">
        <f t="shared" si="140"/>
        <v>#N/A</v>
      </c>
      <c r="K970" s="21" t="str">
        <f t="shared" si="144"/>
        <v/>
      </c>
    </row>
    <row r="971" spans="2:11" x14ac:dyDescent="0.25">
      <c r="B971" s="9" t="e">
        <f t="shared" si="145"/>
        <v>#N/A</v>
      </c>
      <c r="C971" s="10" t="e">
        <f t="shared" si="137"/>
        <v>#N/A</v>
      </c>
      <c r="D971" s="11" t="str">
        <f>IF(ISERROR(B971),"",bsolve($B971,$E$2,$E$4,$E$8,$E$9))</f>
        <v/>
      </c>
      <c r="E971" s="11" t="str">
        <f t="shared" si="138"/>
        <v/>
      </c>
      <c r="F971" s="11" t="str">
        <f t="shared" si="141"/>
        <v/>
      </c>
      <c r="G971" s="11" t="str">
        <f t="shared" si="142"/>
        <v/>
      </c>
      <c r="H971" s="19" t="str">
        <f t="shared" si="139"/>
        <v/>
      </c>
      <c r="I971" s="21">
        <f t="shared" si="143"/>
        <v>0</v>
      </c>
      <c r="J971" s="21" t="e">
        <f t="shared" si="140"/>
        <v>#N/A</v>
      </c>
      <c r="K971" s="21" t="str">
        <f t="shared" si="144"/>
        <v/>
      </c>
    </row>
    <row r="972" spans="2:11" x14ac:dyDescent="0.25">
      <c r="B972" s="9" t="e">
        <f t="shared" si="145"/>
        <v>#N/A</v>
      </c>
      <c r="C972" s="10" t="e">
        <f t="shared" si="137"/>
        <v>#N/A</v>
      </c>
      <c r="D972" s="11" t="str">
        <f>IF(ISERROR(B972),"",bsolve($B972,$E$2,$E$4,$E$8,$E$9))</f>
        <v/>
      </c>
      <c r="E972" s="11" t="str">
        <f t="shared" si="138"/>
        <v/>
      </c>
      <c r="F972" s="11" t="str">
        <f t="shared" si="141"/>
        <v/>
      </c>
      <c r="G972" s="11" t="str">
        <f t="shared" si="142"/>
        <v/>
      </c>
      <c r="H972" s="19" t="str">
        <f t="shared" si="139"/>
        <v/>
      </c>
      <c r="I972" s="21">
        <f t="shared" si="143"/>
        <v>0</v>
      </c>
      <c r="J972" s="21" t="e">
        <f t="shared" si="140"/>
        <v>#N/A</v>
      </c>
      <c r="K972" s="21" t="str">
        <f t="shared" si="144"/>
        <v/>
      </c>
    </row>
    <row r="973" spans="2:11" x14ac:dyDescent="0.25">
      <c r="B973" s="9" t="e">
        <f t="shared" si="145"/>
        <v>#N/A</v>
      </c>
      <c r="C973" s="10" t="e">
        <f t="shared" si="137"/>
        <v>#N/A</v>
      </c>
      <c r="D973" s="11" t="str">
        <f>IF(ISERROR(B973),"",bsolve($B973,$E$2,$E$4,$E$8,$E$9))</f>
        <v/>
      </c>
      <c r="E973" s="11" t="str">
        <f t="shared" si="138"/>
        <v/>
      </c>
      <c r="F973" s="11" t="str">
        <f t="shared" si="141"/>
        <v/>
      </c>
      <c r="G973" s="11" t="str">
        <f t="shared" si="142"/>
        <v/>
      </c>
      <c r="H973" s="19" t="str">
        <f t="shared" si="139"/>
        <v/>
      </c>
      <c r="I973" s="21">
        <f t="shared" si="143"/>
        <v>0</v>
      </c>
      <c r="J973" s="21" t="e">
        <f t="shared" si="140"/>
        <v>#N/A</v>
      </c>
      <c r="K973" s="21" t="str">
        <f t="shared" si="144"/>
        <v/>
      </c>
    </row>
    <row r="974" spans="2:11" x14ac:dyDescent="0.25">
      <c r="B974" s="9" t="e">
        <f t="shared" si="145"/>
        <v>#N/A</v>
      </c>
      <c r="C974" s="10" t="e">
        <f t="shared" si="137"/>
        <v>#N/A</v>
      </c>
      <c r="D974" s="11" t="str">
        <f>IF(ISERROR(B974),"",bsolve($B974,$E$2,$E$4,$E$8,$E$9))</f>
        <v/>
      </c>
      <c r="E974" s="11" t="str">
        <f t="shared" si="138"/>
        <v/>
      </c>
      <c r="F974" s="11" t="str">
        <f t="shared" si="141"/>
        <v/>
      </c>
      <c r="G974" s="11" t="str">
        <f t="shared" si="142"/>
        <v/>
      </c>
      <c r="H974" s="19" t="str">
        <f t="shared" si="139"/>
        <v/>
      </c>
      <c r="I974" s="21">
        <f t="shared" si="143"/>
        <v>0</v>
      </c>
      <c r="J974" s="21" t="e">
        <f t="shared" si="140"/>
        <v>#N/A</v>
      </c>
      <c r="K974" s="21" t="str">
        <f t="shared" si="144"/>
        <v/>
      </c>
    </row>
    <row r="975" spans="2:11" x14ac:dyDescent="0.25">
      <c r="B975" s="9" t="e">
        <f t="shared" si="145"/>
        <v>#N/A</v>
      </c>
      <c r="C975" s="10" t="e">
        <f t="shared" si="137"/>
        <v>#N/A</v>
      </c>
      <c r="D975" s="11" t="str">
        <f>IF(ISERROR(B975),"",bsolve($B975,$E$2,$E$4,$E$8,$E$9))</f>
        <v/>
      </c>
      <c r="E975" s="11" t="str">
        <f t="shared" si="138"/>
        <v/>
      </c>
      <c r="F975" s="11" t="str">
        <f t="shared" si="141"/>
        <v/>
      </c>
      <c r="G975" s="11" t="str">
        <f t="shared" si="142"/>
        <v/>
      </c>
      <c r="H975" s="19" t="str">
        <f t="shared" si="139"/>
        <v/>
      </c>
      <c r="I975" s="21">
        <f t="shared" si="143"/>
        <v>0</v>
      </c>
      <c r="J975" s="21" t="e">
        <f t="shared" si="140"/>
        <v>#N/A</v>
      </c>
      <c r="K975" s="21" t="str">
        <f t="shared" si="144"/>
        <v/>
      </c>
    </row>
    <row r="976" spans="2:11" x14ac:dyDescent="0.25">
      <c r="B976" s="9" t="e">
        <f t="shared" si="145"/>
        <v>#N/A</v>
      </c>
      <c r="C976" s="10" t="e">
        <f t="shared" si="137"/>
        <v>#N/A</v>
      </c>
      <c r="D976" s="11" t="str">
        <f>IF(ISERROR(B976),"",bsolve($B976,$E$2,$E$4,$E$8,$E$9))</f>
        <v/>
      </c>
      <c r="E976" s="11" t="str">
        <f t="shared" si="138"/>
        <v/>
      </c>
      <c r="F976" s="11" t="str">
        <f t="shared" si="141"/>
        <v/>
      </c>
      <c r="G976" s="11" t="str">
        <f t="shared" si="142"/>
        <v/>
      </c>
      <c r="H976" s="19" t="str">
        <f t="shared" si="139"/>
        <v/>
      </c>
      <c r="I976" s="21">
        <f t="shared" si="143"/>
        <v>0</v>
      </c>
      <c r="J976" s="21" t="e">
        <f t="shared" si="140"/>
        <v>#N/A</v>
      </c>
      <c r="K976" s="21" t="str">
        <f t="shared" si="144"/>
        <v/>
      </c>
    </row>
    <row r="977" spans="2:11" x14ac:dyDescent="0.25">
      <c r="B977" s="9" t="e">
        <f t="shared" si="145"/>
        <v>#N/A</v>
      </c>
      <c r="C977" s="10" t="e">
        <f t="shared" si="137"/>
        <v>#N/A</v>
      </c>
      <c r="D977" s="11" t="str">
        <f>IF(ISERROR(B977),"",bsolve($B977,$E$2,$E$4,$E$8,$E$9))</f>
        <v/>
      </c>
      <c r="E977" s="11" t="str">
        <f t="shared" si="138"/>
        <v/>
      </c>
      <c r="F977" s="11" t="str">
        <f t="shared" si="141"/>
        <v/>
      </c>
      <c r="G977" s="11" t="str">
        <f t="shared" si="142"/>
        <v/>
      </c>
      <c r="H977" s="19" t="str">
        <f t="shared" si="139"/>
        <v/>
      </c>
      <c r="I977" s="21">
        <f t="shared" si="143"/>
        <v>0</v>
      </c>
      <c r="J977" s="21" t="e">
        <f t="shared" si="140"/>
        <v>#N/A</v>
      </c>
      <c r="K977" s="21" t="str">
        <f t="shared" si="144"/>
        <v/>
      </c>
    </row>
    <row r="978" spans="2:11" x14ac:dyDescent="0.25">
      <c r="B978" s="9" t="e">
        <f t="shared" si="145"/>
        <v>#N/A</v>
      </c>
      <c r="C978" s="10" t="e">
        <f t="shared" ref="C978:C1041" si="146">IF(B978="","",100*B978/$E$2)</f>
        <v>#N/A</v>
      </c>
      <c r="D978" s="11" t="str">
        <f>IF(ISERROR(B978),"",bsolve($B978,$E$2,$E$4,$E$8,$E$9))</f>
        <v/>
      </c>
      <c r="E978" s="11" t="str">
        <f t="shared" ref="E978:E1041" si="147">IF(ISERROR(B978),"",IF(AND($E$7&lt;$E$5,C978&gt;=($E$5*100)),D978,0))</f>
        <v/>
      </c>
      <c r="F978" s="11" t="str">
        <f t="shared" si="141"/>
        <v/>
      </c>
      <c r="G978" s="11" t="str">
        <f t="shared" si="142"/>
        <v/>
      </c>
      <c r="H978" s="19" t="str">
        <f t="shared" ref="H978:H1041" si="148">IF(ISERROR(B978),"",100*((B978*(1-$E$9))+($E$2-B978)*$E$8)/$E$2)</f>
        <v/>
      </c>
      <c r="I978" s="21">
        <f t="shared" si="143"/>
        <v>0</v>
      </c>
      <c r="J978" s="21" t="e">
        <f t="shared" ref="J978:J1041" si="149">IF(ISERROR(B978),NA(),IF(AND(H978&gt;=$E$5*100,B978/$E$2&lt;$E$5),H978,NA()))</f>
        <v>#N/A</v>
      </c>
      <c r="K978" s="21" t="str">
        <f t="shared" si="144"/>
        <v/>
      </c>
    </row>
    <row r="979" spans="2:11" x14ac:dyDescent="0.25">
      <c r="B979" s="9" t="e">
        <f t="shared" si="145"/>
        <v>#N/A</v>
      </c>
      <c r="C979" s="10" t="e">
        <f t="shared" si="146"/>
        <v>#N/A</v>
      </c>
      <c r="D979" s="11" t="str">
        <f>IF(ISERROR(B979),"",bsolve($B979,$E$2,$E$4,$E$8,$E$9))</f>
        <v/>
      </c>
      <c r="E979" s="11" t="str">
        <f t="shared" si="147"/>
        <v/>
      </c>
      <c r="F979" s="11" t="str">
        <f t="shared" ref="F979:F1042" si="150">IF(ISERROR(B979),"",IF(AND($E$7&gt;=$E$5,C979&lt;($E$5*100)),D979,0))</f>
        <v/>
      </c>
      <c r="G979" s="11" t="str">
        <f t="shared" ref="G979:G1042" si="151">IF(ISERROR(B979),"",IF(C979&gt;=$E$5*100,D979,""))</f>
        <v/>
      </c>
      <c r="H979" s="19" t="str">
        <f t="shared" si="148"/>
        <v/>
      </c>
      <c r="I979" s="21">
        <f t="shared" ref="I979:I1042" si="152">IF(NOT(ISERROR(J979)),B979,0)</f>
        <v>0</v>
      </c>
      <c r="J979" s="21" t="e">
        <f t="shared" si="149"/>
        <v>#N/A</v>
      </c>
      <c r="K979" s="21" t="str">
        <f t="shared" ref="K979:K1042" si="153">IF(AND(I979=0,I980&gt;0),B979,"")</f>
        <v/>
      </c>
    </row>
    <row r="980" spans="2:11" x14ac:dyDescent="0.25">
      <c r="B980" s="9" t="e">
        <f t="shared" ref="B980:B1043" si="154">IF(ROW()-18&lt;=$E$2,B979+1,NA())</f>
        <v>#N/A</v>
      </c>
      <c r="C980" s="10" t="e">
        <f t="shared" si="146"/>
        <v>#N/A</v>
      </c>
      <c r="D980" s="11" t="str">
        <f>IF(ISERROR(B980),"",bsolve($B980,$E$2,$E$4,$E$8,$E$9))</f>
        <v/>
      </c>
      <c r="E980" s="11" t="str">
        <f t="shared" si="147"/>
        <v/>
      </c>
      <c r="F980" s="11" t="str">
        <f t="shared" si="150"/>
        <v/>
      </c>
      <c r="G980" s="11" t="str">
        <f t="shared" si="151"/>
        <v/>
      </c>
      <c r="H980" s="19" t="str">
        <f t="shared" si="148"/>
        <v/>
      </c>
      <c r="I980" s="21">
        <f t="shared" si="152"/>
        <v>0</v>
      </c>
      <c r="J980" s="21" t="e">
        <f t="shared" si="149"/>
        <v>#N/A</v>
      </c>
      <c r="K980" s="21" t="str">
        <f t="shared" si="153"/>
        <v/>
      </c>
    </row>
    <row r="981" spans="2:11" x14ac:dyDescent="0.25">
      <c r="B981" s="9" t="e">
        <f t="shared" si="154"/>
        <v>#N/A</v>
      </c>
      <c r="C981" s="10" t="e">
        <f t="shared" si="146"/>
        <v>#N/A</v>
      </c>
      <c r="D981" s="11" t="str">
        <f>IF(ISERROR(B981),"",bsolve($B981,$E$2,$E$4,$E$8,$E$9))</f>
        <v/>
      </c>
      <c r="E981" s="11" t="str">
        <f t="shared" si="147"/>
        <v/>
      </c>
      <c r="F981" s="11" t="str">
        <f t="shared" si="150"/>
        <v/>
      </c>
      <c r="G981" s="11" t="str">
        <f t="shared" si="151"/>
        <v/>
      </c>
      <c r="H981" s="19" t="str">
        <f t="shared" si="148"/>
        <v/>
      </c>
      <c r="I981" s="21">
        <f t="shared" si="152"/>
        <v>0</v>
      </c>
      <c r="J981" s="21" t="e">
        <f t="shared" si="149"/>
        <v>#N/A</v>
      </c>
      <c r="K981" s="21" t="str">
        <f t="shared" si="153"/>
        <v/>
      </c>
    </row>
    <row r="982" spans="2:11" x14ac:dyDescent="0.25">
      <c r="B982" s="9" t="e">
        <f t="shared" si="154"/>
        <v>#N/A</v>
      </c>
      <c r="C982" s="10" t="e">
        <f t="shared" si="146"/>
        <v>#N/A</v>
      </c>
      <c r="D982" s="11" t="str">
        <f>IF(ISERROR(B982),"",bsolve($B982,$E$2,$E$4,$E$8,$E$9))</f>
        <v/>
      </c>
      <c r="E982" s="11" t="str">
        <f t="shared" si="147"/>
        <v/>
      </c>
      <c r="F982" s="11" t="str">
        <f t="shared" si="150"/>
        <v/>
      </c>
      <c r="G982" s="11" t="str">
        <f t="shared" si="151"/>
        <v/>
      </c>
      <c r="H982" s="19" t="str">
        <f t="shared" si="148"/>
        <v/>
      </c>
      <c r="I982" s="21">
        <f t="shared" si="152"/>
        <v>0</v>
      </c>
      <c r="J982" s="21" t="e">
        <f t="shared" si="149"/>
        <v>#N/A</v>
      </c>
      <c r="K982" s="21" t="str">
        <f t="shared" si="153"/>
        <v/>
      </c>
    </row>
    <row r="983" spans="2:11" x14ac:dyDescent="0.25">
      <c r="B983" s="9" t="e">
        <f t="shared" si="154"/>
        <v>#N/A</v>
      </c>
      <c r="C983" s="10" t="e">
        <f t="shared" si="146"/>
        <v>#N/A</v>
      </c>
      <c r="D983" s="11" t="str">
        <f>IF(ISERROR(B983),"",bsolve($B983,$E$2,$E$4,$E$8,$E$9))</f>
        <v/>
      </c>
      <c r="E983" s="11" t="str">
        <f t="shared" si="147"/>
        <v/>
      </c>
      <c r="F983" s="11" t="str">
        <f t="shared" si="150"/>
        <v/>
      </c>
      <c r="G983" s="11" t="str">
        <f t="shared" si="151"/>
        <v/>
      </c>
      <c r="H983" s="19" t="str">
        <f t="shared" si="148"/>
        <v/>
      </c>
      <c r="I983" s="21">
        <f t="shared" si="152"/>
        <v>0</v>
      </c>
      <c r="J983" s="21" t="e">
        <f t="shared" si="149"/>
        <v>#N/A</v>
      </c>
      <c r="K983" s="21" t="str">
        <f t="shared" si="153"/>
        <v/>
      </c>
    </row>
    <row r="984" spans="2:11" x14ac:dyDescent="0.25">
      <c r="B984" s="9" t="e">
        <f t="shared" si="154"/>
        <v>#N/A</v>
      </c>
      <c r="C984" s="10" t="e">
        <f t="shared" si="146"/>
        <v>#N/A</v>
      </c>
      <c r="D984" s="11" t="str">
        <f>IF(ISERROR(B984),"",bsolve($B984,$E$2,$E$4,$E$8,$E$9))</f>
        <v/>
      </c>
      <c r="E984" s="11" t="str">
        <f t="shared" si="147"/>
        <v/>
      </c>
      <c r="F984" s="11" t="str">
        <f t="shared" si="150"/>
        <v/>
      </c>
      <c r="G984" s="11" t="str">
        <f t="shared" si="151"/>
        <v/>
      </c>
      <c r="H984" s="19" t="str">
        <f t="shared" si="148"/>
        <v/>
      </c>
      <c r="I984" s="21">
        <f t="shared" si="152"/>
        <v>0</v>
      </c>
      <c r="J984" s="21" t="e">
        <f t="shared" si="149"/>
        <v>#N/A</v>
      </c>
      <c r="K984" s="21" t="str">
        <f t="shared" si="153"/>
        <v/>
      </c>
    </row>
    <row r="985" spans="2:11" x14ac:dyDescent="0.25">
      <c r="B985" s="9" t="e">
        <f t="shared" si="154"/>
        <v>#N/A</v>
      </c>
      <c r="C985" s="10" t="e">
        <f t="shared" si="146"/>
        <v>#N/A</v>
      </c>
      <c r="D985" s="11" t="str">
        <f>IF(ISERROR(B985),"",bsolve($B985,$E$2,$E$4,$E$8,$E$9))</f>
        <v/>
      </c>
      <c r="E985" s="11" t="str">
        <f t="shared" si="147"/>
        <v/>
      </c>
      <c r="F985" s="11" t="str">
        <f t="shared" si="150"/>
        <v/>
      </c>
      <c r="G985" s="11" t="str">
        <f t="shared" si="151"/>
        <v/>
      </c>
      <c r="H985" s="19" t="str">
        <f t="shared" si="148"/>
        <v/>
      </c>
      <c r="I985" s="21">
        <f t="shared" si="152"/>
        <v>0</v>
      </c>
      <c r="J985" s="21" t="e">
        <f t="shared" si="149"/>
        <v>#N/A</v>
      </c>
      <c r="K985" s="21" t="str">
        <f t="shared" si="153"/>
        <v/>
      </c>
    </row>
    <row r="986" spans="2:11" x14ac:dyDescent="0.25">
      <c r="B986" s="9" t="e">
        <f t="shared" si="154"/>
        <v>#N/A</v>
      </c>
      <c r="C986" s="10" t="e">
        <f t="shared" si="146"/>
        <v>#N/A</v>
      </c>
      <c r="D986" s="11" t="str">
        <f>IF(ISERROR(B986),"",bsolve($B986,$E$2,$E$4,$E$8,$E$9))</f>
        <v/>
      </c>
      <c r="E986" s="11" t="str">
        <f t="shared" si="147"/>
        <v/>
      </c>
      <c r="F986" s="11" t="str">
        <f t="shared" si="150"/>
        <v/>
      </c>
      <c r="G986" s="11" t="str">
        <f t="shared" si="151"/>
        <v/>
      </c>
      <c r="H986" s="19" t="str">
        <f t="shared" si="148"/>
        <v/>
      </c>
      <c r="I986" s="21">
        <f t="shared" si="152"/>
        <v>0</v>
      </c>
      <c r="J986" s="21" t="e">
        <f t="shared" si="149"/>
        <v>#N/A</v>
      </c>
      <c r="K986" s="21" t="str">
        <f t="shared" si="153"/>
        <v/>
      </c>
    </row>
    <row r="987" spans="2:11" x14ac:dyDescent="0.25">
      <c r="B987" s="9" t="e">
        <f t="shared" si="154"/>
        <v>#N/A</v>
      </c>
      <c r="C987" s="10" t="e">
        <f t="shared" si="146"/>
        <v>#N/A</v>
      </c>
      <c r="D987" s="11" t="str">
        <f>IF(ISERROR(B987),"",bsolve($B987,$E$2,$E$4,$E$8,$E$9))</f>
        <v/>
      </c>
      <c r="E987" s="11" t="str">
        <f t="shared" si="147"/>
        <v/>
      </c>
      <c r="F987" s="11" t="str">
        <f t="shared" si="150"/>
        <v/>
      </c>
      <c r="G987" s="11" t="str">
        <f t="shared" si="151"/>
        <v/>
      </c>
      <c r="H987" s="19" t="str">
        <f t="shared" si="148"/>
        <v/>
      </c>
      <c r="I987" s="21">
        <f t="shared" si="152"/>
        <v>0</v>
      </c>
      <c r="J987" s="21" t="e">
        <f t="shared" si="149"/>
        <v>#N/A</v>
      </c>
      <c r="K987" s="21" t="str">
        <f t="shared" si="153"/>
        <v/>
      </c>
    </row>
    <row r="988" spans="2:11" x14ac:dyDescent="0.25">
      <c r="B988" s="9" t="e">
        <f t="shared" si="154"/>
        <v>#N/A</v>
      </c>
      <c r="C988" s="10" t="e">
        <f t="shared" si="146"/>
        <v>#N/A</v>
      </c>
      <c r="D988" s="11" t="str">
        <f>IF(ISERROR(B988),"",bsolve($B988,$E$2,$E$4,$E$8,$E$9))</f>
        <v/>
      </c>
      <c r="E988" s="11" t="str">
        <f t="shared" si="147"/>
        <v/>
      </c>
      <c r="F988" s="11" t="str">
        <f t="shared" si="150"/>
        <v/>
      </c>
      <c r="G988" s="11" t="str">
        <f t="shared" si="151"/>
        <v/>
      </c>
      <c r="H988" s="19" t="str">
        <f t="shared" si="148"/>
        <v/>
      </c>
      <c r="I988" s="21">
        <f t="shared" si="152"/>
        <v>0</v>
      </c>
      <c r="J988" s="21" t="e">
        <f t="shared" si="149"/>
        <v>#N/A</v>
      </c>
      <c r="K988" s="21" t="str">
        <f t="shared" si="153"/>
        <v/>
      </c>
    </row>
    <row r="989" spans="2:11" x14ac:dyDescent="0.25">
      <c r="B989" s="9" t="e">
        <f t="shared" si="154"/>
        <v>#N/A</v>
      </c>
      <c r="C989" s="10" t="e">
        <f t="shared" si="146"/>
        <v>#N/A</v>
      </c>
      <c r="D989" s="11" t="str">
        <f>IF(ISERROR(B989),"",bsolve($B989,$E$2,$E$4,$E$8,$E$9))</f>
        <v/>
      </c>
      <c r="E989" s="11" t="str">
        <f t="shared" si="147"/>
        <v/>
      </c>
      <c r="F989" s="11" t="str">
        <f t="shared" si="150"/>
        <v/>
      </c>
      <c r="G989" s="11" t="str">
        <f t="shared" si="151"/>
        <v/>
      </c>
      <c r="H989" s="19" t="str">
        <f t="shared" si="148"/>
        <v/>
      </c>
      <c r="I989" s="21">
        <f t="shared" si="152"/>
        <v>0</v>
      </c>
      <c r="J989" s="21" t="e">
        <f t="shared" si="149"/>
        <v>#N/A</v>
      </c>
      <c r="K989" s="21" t="str">
        <f t="shared" si="153"/>
        <v/>
      </c>
    </row>
    <row r="990" spans="2:11" x14ac:dyDescent="0.25">
      <c r="B990" s="9" t="e">
        <f t="shared" si="154"/>
        <v>#N/A</v>
      </c>
      <c r="C990" s="10" t="e">
        <f t="shared" si="146"/>
        <v>#N/A</v>
      </c>
      <c r="D990" s="11" t="str">
        <f>IF(ISERROR(B990),"",bsolve($B990,$E$2,$E$4,$E$8,$E$9))</f>
        <v/>
      </c>
      <c r="E990" s="11" t="str">
        <f t="shared" si="147"/>
        <v/>
      </c>
      <c r="F990" s="11" t="str">
        <f t="shared" si="150"/>
        <v/>
      </c>
      <c r="G990" s="11" t="str">
        <f t="shared" si="151"/>
        <v/>
      </c>
      <c r="H990" s="19" t="str">
        <f t="shared" si="148"/>
        <v/>
      </c>
      <c r="I990" s="21">
        <f t="shared" si="152"/>
        <v>0</v>
      </c>
      <c r="J990" s="21" t="e">
        <f t="shared" si="149"/>
        <v>#N/A</v>
      </c>
      <c r="K990" s="21" t="str">
        <f t="shared" si="153"/>
        <v/>
      </c>
    </row>
    <row r="991" spans="2:11" x14ac:dyDescent="0.25">
      <c r="B991" s="9" t="e">
        <f t="shared" si="154"/>
        <v>#N/A</v>
      </c>
      <c r="C991" s="10" t="e">
        <f t="shared" si="146"/>
        <v>#N/A</v>
      </c>
      <c r="D991" s="11" t="str">
        <f>IF(ISERROR(B991),"",bsolve($B991,$E$2,$E$4,$E$8,$E$9))</f>
        <v/>
      </c>
      <c r="E991" s="11" t="str">
        <f t="shared" si="147"/>
        <v/>
      </c>
      <c r="F991" s="11" t="str">
        <f t="shared" si="150"/>
        <v/>
      </c>
      <c r="G991" s="11" t="str">
        <f t="shared" si="151"/>
        <v/>
      </c>
      <c r="H991" s="19" t="str">
        <f t="shared" si="148"/>
        <v/>
      </c>
      <c r="I991" s="21">
        <f t="shared" si="152"/>
        <v>0</v>
      </c>
      <c r="J991" s="21" t="e">
        <f t="shared" si="149"/>
        <v>#N/A</v>
      </c>
      <c r="K991" s="21" t="str">
        <f t="shared" si="153"/>
        <v/>
      </c>
    </row>
    <row r="992" spans="2:11" x14ac:dyDescent="0.25">
      <c r="B992" s="9" t="e">
        <f t="shared" si="154"/>
        <v>#N/A</v>
      </c>
      <c r="C992" s="10" t="e">
        <f t="shared" si="146"/>
        <v>#N/A</v>
      </c>
      <c r="D992" s="11" t="str">
        <f>IF(ISERROR(B992),"",bsolve($B992,$E$2,$E$4,$E$8,$E$9))</f>
        <v/>
      </c>
      <c r="E992" s="11" t="str">
        <f t="shared" si="147"/>
        <v/>
      </c>
      <c r="F992" s="11" t="str">
        <f t="shared" si="150"/>
        <v/>
      </c>
      <c r="G992" s="11" t="str">
        <f t="shared" si="151"/>
        <v/>
      </c>
      <c r="H992" s="19" t="str">
        <f t="shared" si="148"/>
        <v/>
      </c>
      <c r="I992" s="21">
        <f t="shared" si="152"/>
        <v>0</v>
      </c>
      <c r="J992" s="21" t="e">
        <f t="shared" si="149"/>
        <v>#N/A</v>
      </c>
      <c r="K992" s="21" t="str">
        <f t="shared" si="153"/>
        <v/>
      </c>
    </row>
    <row r="993" spans="2:11" x14ac:dyDescent="0.25">
      <c r="B993" s="9" t="e">
        <f t="shared" si="154"/>
        <v>#N/A</v>
      </c>
      <c r="C993" s="10" t="e">
        <f t="shared" si="146"/>
        <v>#N/A</v>
      </c>
      <c r="D993" s="11" t="str">
        <f>IF(ISERROR(B993),"",bsolve($B993,$E$2,$E$4,$E$8,$E$9))</f>
        <v/>
      </c>
      <c r="E993" s="11" t="str">
        <f t="shared" si="147"/>
        <v/>
      </c>
      <c r="F993" s="11" t="str">
        <f t="shared" si="150"/>
        <v/>
      </c>
      <c r="G993" s="11" t="str">
        <f t="shared" si="151"/>
        <v/>
      </c>
      <c r="H993" s="19" t="str">
        <f t="shared" si="148"/>
        <v/>
      </c>
      <c r="I993" s="21">
        <f t="shared" si="152"/>
        <v>0</v>
      </c>
      <c r="J993" s="21" t="e">
        <f t="shared" si="149"/>
        <v>#N/A</v>
      </c>
      <c r="K993" s="21" t="str">
        <f t="shared" si="153"/>
        <v/>
      </c>
    </row>
    <row r="994" spans="2:11" x14ac:dyDescent="0.25">
      <c r="B994" s="9" t="e">
        <f t="shared" si="154"/>
        <v>#N/A</v>
      </c>
      <c r="C994" s="10" t="e">
        <f t="shared" si="146"/>
        <v>#N/A</v>
      </c>
      <c r="D994" s="11" t="str">
        <f>IF(ISERROR(B994),"",bsolve($B994,$E$2,$E$4,$E$8,$E$9))</f>
        <v/>
      </c>
      <c r="E994" s="11" t="str">
        <f t="shared" si="147"/>
        <v/>
      </c>
      <c r="F994" s="11" t="str">
        <f t="shared" si="150"/>
        <v/>
      </c>
      <c r="G994" s="11" t="str">
        <f t="shared" si="151"/>
        <v/>
      </c>
      <c r="H994" s="19" t="str">
        <f t="shared" si="148"/>
        <v/>
      </c>
      <c r="I994" s="21">
        <f t="shared" si="152"/>
        <v>0</v>
      </c>
      <c r="J994" s="21" t="e">
        <f t="shared" si="149"/>
        <v>#N/A</v>
      </c>
      <c r="K994" s="21" t="str">
        <f t="shared" si="153"/>
        <v/>
      </c>
    </row>
    <row r="995" spans="2:11" x14ac:dyDescent="0.25">
      <c r="B995" s="9" t="e">
        <f t="shared" si="154"/>
        <v>#N/A</v>
      </c>
      <c r="C995" s="10" t="e">
        <f t="shared" si="146"/>
        <v>#N/A</v>
      </c>
      <c r="D995" s="11" t="str">
        <f>IF(ISERROR(B995),"",bsolve($B995,$E$2,$E$4,$E$8,$E$9))</f>
        <v/>
      </c>
      <c r="E995" s="11" t="str">
        <f t="shared" si="147"/>
        <v/>
      </c>
      <c r="F995" s="11" t="str">
        <f t="shared" si="150"/>
        <v/>
      </c>
      <c r="G995" s="11" t="str">
        <f t="shared" si="151"/>
        <v/>
      </c>
      <c r="H995" s="19" t="str">
        <f t="shared" si="148"/>
        <v/>
      </c>
      <c r="I995" s="21">
        <f t="shared" si="152"/>
        <v>0</v>
      </c>
      <c r="J995" s="21" t="e">
        <f t="shared" si="149"/>
        <v>#N/A</v>
      </c>
      <c r="K995" s="21" t="str">
        <f t="shared" si="153"/>
        <v/>
      </c>
    </row>
    <row r="996" spans="2:11" x14ac:dyDescent="0.25">
      <c r="B996" s="9" t="e">
        <f t="shared" si="154"/>
        <v>#N/A</v>
      </c>
      <c r="C996" s="10" t="e">
        <f t="shared" si="146"/>
        <v>#N/A</v>
      </c>
      <c r="D996" s="11" t="str">
        <f>IF(ISERROR(B996),"",bsolve($B996,$E$2,$E$4,$E$8,$E$9))</f>
        <v/>
      </c>
      <c r="E996" s="11" t="str">
        <f t="shared" si="147"/>
        <v/>
      </c>
      <c r="F996" s="11" t="str">
        <f t="shared" si="150"/>
        <v/>
      </c>
      <c r="G996" s="11" t="str">
        <f t="shared" si="151"/>
        <v/>
      </c>
      <c r="H996" s="19" t="str">
        <f t="shared" si="148"/>
        <v/>
      </c>
      <c r="I996" s="21">
        <f t="shared" si="152"/>
        <v>0</v>
      </c>
      <c r="J996" s="21" t="e">
        <f t="shared" si="149"/>
        <v>#N/A</v>
      </c>
      <c r="K996" s="21" t="str">
        <f t="shared" si="153"/>
        <v/>
      </c>
    </row>
    <row r="997" spans="2:11" x14ac:dyDescent="0.25">
      <c r="B997" s="9" t="e">
        <f t="shared" si="154"/>
        <v>#N/A</v>
      </c>
      <c r="C997" s="10" t="e">
        <f t="shared" si="146"/>
        <v>#N/A</v>
      </c>
      <c r="D997" s="11" t="str">
        <f>IF(ISERROR(B997),"",bsolve($B997,$E$2,$E$4,$E$8,$E$9))</f>
        <v/>
      </c>
      <c r="E997" s="11" t="str">
        <f t="shared" si="147"/>
        <v/>
      </c>
      <c r="F997" s="11" t="str">
        <f t="shared" si="150"/>
        <v/>
      </c>
      <c r="G997" s="11" t="str">
        <f t="shared" si="151"/>
        <v/>
      </c>
      <c r="H997" s="19" t="str">
        <f t="shared" si="148"/>
        <v/>
      </c>
      <c r="I997" s="21">
        <f t="shared" si="152"/>
        <v>0</v>
      </c>
      <c r="J997" s="21" t="e">
        <f t="shared" si="149"/>
        <v>#N/A</v>
      </c>
      <c r="K997" s="21" t="str">
        <f t="shared" si="153"/>
        <v/>
      </c>
    </row>
    <row r="998" spans="2:11" x14ac:dyDescent="0.25">
      <c r="B998" s="9" t="e">
        <f t="shared" si="154"/>
        <v>#N/A</v>
      </c>
      <c r="C998" s="10" t="e">
        <f t="shared" si="146"/>
        <v>#N/A</v>
      </c>
      <c r="D998" s="11" t="str">
        <f>IF(ISERROR(B998),"",bsolve($B998,$E$2,$E$4,$E$8,$E$9))</f>
        <v/>
      </c>
      <c r="E998" s="11" t="str">
        <f t="shared" si="147"/>
        <v/>
      </c>
      <c r="F998" s="11" t="str">
        <f t="shared" si="150"/>
        <v/>
      </c>
      <c r="G998" s="11" t="str">
        <f t="shared" si="151"/>
        <v/>
      </c>
      <c r="H998" s="19" t="str">
        <f t="shared" si="148"/>
        <v/>
      </c>
      <c r="I998" s="21">
        <f t="shared" si="152"/>
        <v>0</v>
      </c>
      <c r="J998" s="21" t="e">
        <f t="shared" si="149"/>
        <v>#N/A</v>
      </c>
      <c r="K998" s="21" t="str">
        <f t="shared" si="153"/>
        <v/>
      </c>
    </row>
    <row r="999" spans="2:11" x14ac:dyDescent="0.25">
      <c r="B999" s="9" t="e">
        <f t="shared" si="154"/>
        <v>#N/A</v>
      </c>
      <c r="C999" s="10" t="e">
        <f t="shared" si="146"/>
        <v>#N/A</v>
      </c>
      <c r="D999" s="11" t="str">
        <f>IF(ISERROR(B999),"",bsolve($B999,$E$2,$E$4,$E$8,$E$9))</f>
        <v/>
      </c>
      <c r="E999" s="11" t="str">
        <f t="shared" si="147"/>
        <v/>
      </c>
      <c r="F999" s="11" t="str">
        <f t="shared" si="150"/>
        <v/>
      </c>
      <c r="G999" s="11" t="str">
        <f t="shared" si="151"/>
        <v/>
      </c>
      <c r="H999" s="19" t="str">
        <f t="shared" si="148"/>
        <v/>
      </c>
      <c r="I999" s="21">
        <f t="shared" si="152"/>
        <v>0</v>
      </c>
      <c r="J999" s="21" t="e">
        <f t="shared" si="149"/>
        <v>#N/A</v>
      </c>
      <c r="K999" s="21" t="str">
        <f t="shared" si="153"/>
        <v/>
      </c>
    </row>
    <row r="1000" spans="2:11" x14ac:dyDescent="0.25">
      <c r="B1000" s="9" t="e">
        <f t="shared" si="154"/>
        <v>#N/A</v>
      </c>
      <c r="C1000" s="10" t="e">
        <f t="shared" si="146"/>
        <v>#N/A</v>
      </c>
      <c r="D1000" s="11" t="str">
        <f>IF(ISERROR(B1000),"",bsolve($B1000,$E$2,$E$4,$E$8,$E$9))</f>
        <v/>
      </c>
      <c r="E1000" s="11" t="str">
        <f t="shared" si="147"/>
        <v/>
      </c>
      <c r="F1000" s="11" t="str">
        <f t="shared" si="150"/>
        <v/>
      </c>
      <c r="G1000" s="11" t="str">
        <f t="shared" si="151"/>
        <v/>
      </c>
      <c r="H1000" s="19" t="str">
        <f t="shared" si="148"/>
        <v/>
      </c>
      <c r="I1000" s="21">
        <f t="shared" si="152"/>
        <v>0</v>
      </c>
      <c r="J1000" s="21" t="e">
        <f t="shared" si="149"/>
        <v>#N/A</v>
      </c>
      <c r="K1000" s="21" t="str">
        <f t="shared" si="153"/>
        <v/>
      </c>
    </row>
    <row r="1001" spans="2:11" x14ac:dyDescent="0.25">
      <c r="B1001" s="9" t="e">
        <f t="shared" si="154"/>
        <v>#N/A</v>
      </c>
      <c r="C1001" s="10" t="e">
        <f t="shared" si="146"/>
        <v>#N/A</v>
      </c>
      <c r="D1001" s="11" t="str">
        <f>IF(ISERROR(B1001),"",bsolve($B1001,$E$2,$E$4,$E$8,$E$9))</f>
        <v/>
      </c>
      <c r="E1001" s="11" t="str">
        <f t="shared" si="147"/>
        <v/>
      </c>
      <c r="F1001" s="11" t="str">
        <f t="shared" si="150"/>
        <v/>
      </c>
      <c r="G1001" s="11" t="str">
        <f t="shared" si="151"/>
        <v/>
      </c>
      <c r="H1001" s="19" t="str">
        <f t="shared" si="148"/>
        <v/>
      </c>
      <c r="I1001" s="21">
        <f t="shared" si="152"/>
        <v>0</v>
      </c>
      <c r="J1001" s="21" t="e">
        <f t="shared" si="149"/>
        <v>#N/A</v>
      </c>
      <c r="K1001" s="21" t="str">
        <f t="shared" si="153"/>
        <v/>
      </c>
    </row>
    <row r="1002" spans="2:11" x14ac:dyDescent="0.25">
      <c r="B1002" s="9" t="e">
        <f t="shared" si="154"/>
        <v>#N/A</v>
      </c>
      <c r="C1002" s="10" t="e">
        <f t="shared" si="146"/>
        <v>#N/A</v>
      </c>
      <c r="D1002" s="11" t="str">
        <f>IF(ISERROR(B1002),"",bsolve($B1002,$E$2,$E$4,$E$8,$E$9))</f>
        <v/>
      </c>
      <c r="E1002" s="11" t="str">
        <f t="shared" si="147"/>
        <v/>
      </c>
      <c r="F1002" s="11" t="str">
        <f t="shared" si="150"/>
        <v/>
      </c>
      <c r="G1002" s="11" t="str">
        <f t="shared" si="151"/>
        <v/>
      </c>
      <c r="H1002" s="19" t="str">
        <f t="shared" si="148"/>
        <v/>
      </c>
      <c r="I1002" s="21">
        <f t="shared" si="152"/>
        <v>0</v>
      </c>
      <c r="J1002" s="21" t="e">
        <f t="shared" si="149"/>
        <v>#N/A</v>
      </c>
      <c r="K1002" s="21" t="str">
        <f t="shared" si="153"/>
        <v/>
      </c>
    </row>
    <row r="1003" spans="2:11" x14ac:dyDescent="0.25">
      <c r="B1003" s="9" t="e">
        <f t="shared" si="154"/>
        <v>#N/A</v>
      </c>
      <c r="C1003" s="10" t="e">
        <f t="shared" si="146"/>
        <v>#N/A</v>
      </c>
      <c r="D1003" s="11" t="str">
        <f>IF(ISERROR(B1003),"",bsolve($B1003,$E$2,$E$4,$E$8,$E$9))</f>
        <v/>
      </c>
      <c r="E1003" s="11" t="str">
        <f t="shared" si="147"/>
        <v/>
      </c>
      <c r="F1003" s="11" t="str">
        <f t="shared" si="150"/>
        <v/>
      </c>
      <c r="G1003" s="11" t="str">
        <f t="shared" si="151"/>
        <v/>
      </c>
      <c r="H1003" s="19" t="str">
        <f t="shared" si="148"/>
        <v/>
      </c>
      <c r="I1003" s="21">
        <f t="shared" si="152"/>
        <v>0</v>
      </c>
      <c r="J1003" s="21" t="e">
        <f t="shared" si="149"/>
        <v>#N/A</v>
      </c>
      <c r="K1003" s="21" t="str">
        <f t="shared" si="153"/>
        <v/>
      </c>
    </row>
    <row r="1004" spans="2:11" x14ac:dyDescent="0.25">
      <c r="B1004" s="9" t="e">
        <f t="shared" si="154"/>
        <v>#N/A</v>
      </c>
      <c r="C1004" s="10" t="e">
        <f t="shared" si="146"/>
        <v>#N/A</v>
      </c>
      <c r="D1004" s="11" t="str">
        <f>IF(ISERROR(B1004),"",bsolve($B1004,$E$2,$E$4,$E$8,$E$9))</f>
        <v/>
      </c>
      <c r="E1004" s="11" t="str">
        <f t="shared" si="147"/>
        <v/>
      </c>
      <c r="F1004" s="11" t="str">
        <f t="shared" si="150"/>
        <v/>
      </c>
      <c r="G1004" s="11" t="str">
        <f t="shared" si="151"/>
        <v/>
      </c>
      <c r="H1004" s="19" t="str">
        <f t="shared" si="148"/>
        <v/>
      </c>
      <c r="I1004" s="21">
        <f t="shared" si="152"/>
        <v>0</v>
      </c>
      <c r="J1004" s="21" t="e">
        <f t="shared" si="149"/>
        <v>#N/A</v>
      </c>
      <c r="K1004" s="21" t="str">
        <f t="shared" si="153"/>
        <v/>
      </c>
    </row>
    <row r="1005" spans="2:11" x14ac:dyDescent="0.25">
      <c r="B1005" s="9" t="e">
        <f t="shared" si="154"/>
        <v>#N/A</v>
      </c>
      <c r="C1005" s="10" t="e">
        <f t="shared" si="146"/>
        <v>#N/A</v>
      </c>
      <c r="D1005" s="11" t="str">
        <f>IF(ISERROR(B1005),"",bsolve($B1005,$E$2,$E$4,$E$8,$E$9))</f>
        <v/>
      </c>
      <c r="E1005" s="11" t="str">
        <f t="shared" si="147"/>
        <v/>
      </c>
      <c r="F1005" s="11" t="str">
        <f t="shared" si="150"/>
        <v/>
      </c>
      <c r="G1005" s="11" t="str">
        <f t="shared" si="151"/>
        <v/>
      </c>
      <c r="H1005" s="19" t="str">
        <f t="shared" si="148"/>
        <v/>
      </c>
      <c r="I1005" s="21">
        <f t="shared" si="152"/>
        <v>0</v>
      </c>
      <c r="J1005" s="21" t="e">
        <f t="shared" si="149"/>
        <v>#N/A</v>
      </c>
      <c r="K1005" s="21" t="str">
        <f t="shared" si="153"/>
        <v/>
      </c>
    </row>
    <row r="1006" spans="2:11" x14ac:dyDescent="0.25">
      <c r="B1006" s="9" t="e">
        <f t="shared" si="154"/>
        <v>#N/A</v>
      </c>
      <c r="C1006" s="10" t="e">
        <f t="shared" si="146"/>
        <v>#N/A</v>
      </c>
      <c r="D1006" s="11" t="str">
        <f>IF(ISERROR(B1006),"",bsolve($B1006,$E$2,$E$4,$E$8,$E$9))</f>
        <v/>
      </c>
      <c r="E1006" s="11" t="str">
        <f t="shared" si="147"/>
        <v/>
      </c>
      <c r="F1006" s="11" t="str">
        <f t="shared" si="150"/>
        <v/>
      </c>
      <c r="G1006" s="11" t="str">
        <f t="shared" si="151"/>
        <v/>
      </c>
      <c r="H1006" s="19" t="str">
        <f t="shared" si="148"/>
        <v/>
      </c>
      <c r="I1006" s="21">
        <f t="shared" si="152"/>
        <v>0</v>
      </c>
      <c r="J1006" s="21" t="e">
        <f t="shared" si="149"/>
        <v>#N/A</v>
      </c>
      <c r="K1006" s="21" t="str">
        <f t="shared" si="153"/>
        <v/>
      </c>
    </row>
    <row r="1007" spans="2:11" x14ac:dyDescent="0.25">
      <c r="B1007" s="9" t="e">
        <f t="shared" si="154"/>
        <v>#N/A</v>
      </c>
      <c r="C1007" s="10" t="e">
        <f t="shared" si="146"/>
        <v>#N/A</v>
      </c>
      <c r="D1007" s="11" t="str">
        <f>IF(ISERROR(B1007),"",bsolve($B1007,$E$2,$E$4,$E$8,$E$9))</f>
        <v/>
      </c>
      <c r="E1007" s="11" t="str">
        <f t="shared" si="147"/>
        <v/>
      </c>
      <c r="F1007" s="11" t="str">
        <f t="shared" si="150"/>
        <v/>
      </c>
      <c r="G1007" s="11" t="str">
        <f t="shared" si="151"/>
        <v/>
      </c>
      <c r="H1007" s="19" t="str">
        <f t="shared" si="148"/>
        <v/>
      </c>
      <c r="I1007" s="21">
        <f t="shared" si="152"/>
        <v>0</v>
      </c>
      <c r="J1007" s="21" t="e">
        <f t="shared" si="149"/>
        <v>#N/A</v>
      </c>
      <c r="K1007" s="21" t="str">
        <f t="shared" si="153"/>
        <v/>
      </c>
    </row>
    <row r="1008" spans="2:11" x14ac:dyDescent="0.25">
      <c r="B1008" s="9" t="e">
        <f t="shared" si="154"/>
        <v>#N/A</v>
      </c>
      <c r="C1008" s="10" t="e">
        <f t="shared" si="146"/>
        <v>#N/A</v>
      </c>
      <c r="D1008" s="11" t="str">
        <f>IF(ISERROR(B1008),"",bsolve($B1008,$E$2,$E$4,$E$8,$E$9))</f>
        <v/>
      </c>
      <c r="E1008" s="11" t="str">
        <f t="shared" si="147"/>
        <v/>
      </c>
      <c r="F1008" s="11" t="str">
        <f t="shared" si="150"/>
        <v/>
      </c>
      <c r="G1008" s="11" t="str">
        <f t="shared" si="151"/>
        <v/>
      </c>
      <c r="H1008" s="19" t="str">
        <f t="shared" si="148"/>
        <v/>
      </c>
      <c r="I1008" s="21">
        <f t="shared" si="152"/>
        <v>0</v>
      </c>
      <c r="J1008" s="21" t="e">
        <f t="shared" si="149"/>
        <v>#N/A</v>
      </c>
      <c r="K1008" s="21" t="str">
        <f t="shared" si="153"/>
        <v/>
      </c>
    </row>
    <row r="1009" spans="2:11" x14ac:dyDescent="0.25">
      <c r="B1009" s="9" t="e">
        <f t="shared" si="154"/>
        <v>#N/A</v>
      </c>
      <c r="C1009" s="10" t="e">
        <f t="shared" si="146"/>
        <v>#N/A</v>
      </c>
      <c r="D1009" s="11" t="str">
        <f>IF(ISERROR(B1009),"",bsolve($B1009,$E$2,$E$4,$E$8,$E$9))</f>
        <v/>
      </c>
      <c r="E1009" s="11" t="str">
        <f t="shared" si="147"/>
        <v/>
      </c>
      <c r="F1009" s="11" t="str">
        <f t="shared" si="150"/>
        <v/>
      </c>
      <c r="G1009" s="11" t="str">
        <f t="shared" si="151"/>
        <v/>
      </c>
      <c r="H1009" s="19" t="str">
        <f t="shared" si="148"/>
        <v/>
      </c>
      <c r="I1009" s="21">
        <f t="shared" si="152"/>
        <v>0</v>
      </c>
      <c r="J1009" s="21" t="e">
        <f t="shared" si="149"/>
        <v>#N/A</v>
      </c>
      <c r="K1009" s="21" t="str">
        <f t="shared" si="153"/>
        <v/>
      </c>
    </row>
    <row r="1010" spans="2:11" x14ac:dyDescent="0.25">
      <c r="B1010" s="9" t="e">
        <f t="shared" si="154"/>
        <v>#N/A</v>
      </c>
      <c r="C1010" s="10" t="e">
        <f t="shared" si="146"/>
        <v>#N/A</v>
      </c>
      <c r="D1010" s="11" t="str">
        <f>IF(ISERROR(B1010),"",bsolve($B1010,$E$2,$E$4,$E$8,$E$9))</f>
        <v/>
      </c>
      <c r="E1010" s="11" t="str">
        <f t="shared" si="147"/>
        <v/>
      </c>
      <c r="F1010" s="11" t="str">
        <f t="shared" si="150"/>
        <v/>
      </c>
      <c r="G1010" s="11" t="str">
        <f t="shared" si="151"/>
        <v/>
      </c>
      <c r="H1010" s="19" t="str">
        <f t="shared" si="148"/>
        <v/>
      </c>
      <c r="I1010" s="21">
        <f t="shared" si="152"/>
        <v>0</v>
      </c>
      <c r="J1010" s="21" t="e">
        <f t="shared" si="149"/>
        <v>#N/A</v>
      </c>
      <c r="K1010" s="21" t="str">
        <f t="shared" si="153"/>
        <v/>
      </c>
    </row>
    <row r="1011" spans="2:11" x14ac:dyDescent="0.25">
      <c r="B1011" s="9" t="e">
        <f t="shared" si="154"/>
        <v>#N/A</v>
      </c>
      <c r="C1011" s="10" t="e">
        <f t="shared" si="146"/>
        <v>#N/A</v>
      </c>
      <c r="D1011" s="11" t="str">
        <f>IF(ISERROR(B1011),"",bsolve($B1011,$E$2,$E$4,$E$8,$E$9))</f>
        <v/>
      </c>
      <c r="E1011" s="11" t="str">
        <f t="shared" si="147"/>
        <v/>
      </c>
      <c r="F1011" s="11" t="str">
        <f t="shared" si="150"/>
        <v/>
      </c>
      <c r="G1011" s="11" t="str">
        <f t="shared" si="151"/>
        <v/>
      </c>
      <c r="H1011" s="19" t="str">
        <f t="shared" si="148"/>
        <v/>
      </c>
      <c r="I1011" s="21">
        <f t="shared" si="152"/>
        <v>0</v>
      </c>
      <c r="J1011" s="21" t="e">
        <f t="shared" si="149"/>
        <v>#N/A</v>
      </c>
      <c r="K1011" s="21" t="str">
        <f t="shared" si="153"/>
        <v/>
      </c>
    </row>
    <row r="1012" spans="2:11" x14ac:dyDescent="0.25">
      <c r="B1012" s="9" t="e">
        <f t="shared" si="154"/>
        <v>#N/A</v>
      </c>
      <c r="C1012" s="10" t="e">
        <f t="shared" si="146"/>
        <v>#N/A</v>
      </c>
      <c r="D1012" s="11" t="str">
        <f>IF(ISERROR(B1012),"",bsolve($B1012,$E$2,$E$4,$E$8,$E$9))</f>
        <v/>
      </c>
      <c r="E1012" s="11" t="str">
        <f t="shared" si="147"/>
        <v/>
      </c>
      <c r="F1012" s="11" t="str">
        <f t="shared" si="150"/>
        <v/>
      </c>
      <c r="G1012" s="11" t="str">
        <f t="shared" si="151"/>
        <v/>
      </c>
      <c r="H1012" s="19" t="str">
        <f t="shared" si="148"/>
        <v/>
      </c>
      <c r="I1012" s="21">
        <f t="shared" si="152"/>
        <v>0</v>
      </c>
      <c r="J1012" s="21" t="e">
        <f t="shared" si="149"/>
        <v>#N/A</v>
      </c>
      <c r="K1012" s="21" t="str">
        <f t="shared" si="153"/>
        <v/>
      </c>
    </row>
    <row r="1013" spans="2:11" x14ac:dyDescent="0.25">
      <c r="B1013" s="9" t="e">
        <f t="shared" si="154"/>
        <v>#N/A</v>
      </c>
      <c r="C1013" s="10" t="e">
        <f t="shared" si="146"/>
        <v>#N/A</v>
      </c>
      <c r="D1013" s="11" t="str">
        <f>IF(ISERROR(B1013),"",bsolve($B1013,$E$2,$E$4,$E$8,$E$9))</f>
        <v/>
      </c>
      <c r="E1013" s="11" t="str">
        <f t="shared" si="147"/>
        <v/>
      </c>
      <c r="F1013" s="11" t="str">
        <f t="shared" si="150"/>
        <v/>
      </c>
      <c r="G1013" s="11" t="str">
        <f t="shared" si="151"/>
        <v/>
      </c>
      <c r="H1013" s="19" t="str">
        <f t="shared" si="148"/>
        <v/>
      </c>
      <c r="I1013" s="21">
        <f t="shared" si="152"/>
        <v>0</v>
      </c>
      <c r="J1013" s="21" t="e">
        <f t="shared" si="149"/>
        <v>#N/A</v>
      </c>
      <c r="K1013" s="21" t="str">
        <f t="shared" si="153"/>
        <v/>
      </c>
    </row>
    <row r="1014" spans="2:11" x14ac:dyDescent="0.25">
      <c r="B1014" s="9" t="e">
        <f t="shared" si="154"/>
        <v>#N/A</v>
      </c>
      <c r="C1014" s="10" t="e">
        <f t="shared" si="146"/>
        <v>#N/A</v>
      </c>
      <c r="D1014" s="11" t="str">
        <f>IF(ISERROR(B1014),"",bsolve($B1014,$E$2,$E$4,$E$8,$E$9))</f>
        <v/>
      </c>
      <c r="E1014" s="11" t="str">
        <f t="shared" si="147"/>
        <v/>
      </c>
      <c r="F1014" s="11" t="str">
        <f t="shared" si="150"/>
        <v/>
      </c>
      <c r="G1014" s="11" t="str">
        <f t="shared" si="151"/>
        <v/>
      </c>
      <c r="H1014" s="19" t="str">
        <f t="shared" si="148"/>
        <v/>
      </c>
      <c r="I1014" s="21">
        <f t="shared" si="152"/>
        <v>0</v>
      </c>
      <c r="J1014" s="21" t="e">
        <f t="shared" si="149"/>
        <v>#N/A</v>
      </c>
      <c r="K1014" s="21" t="str">
        <f t="shared" si="153"/>
        <v/>
      </c>
    </row>
    <row r="1015" spans="2:11" x14ac:dyDescent="0.25">
      <c r="B1015" s="9" t="e">
        <f t="shared" si="154"/>
        <v>#N/A</v>
      </c>
      <c r="C1015" s="10" t="e">
        <f t="shared" si="146"/>
        <v>#N/A</v>
      </c>
      <c r="D1015" s="11" t="str">
        <f>IF(ISERROR(B1015),"",bsolve($B1015,$E$2,$E$4,$E$8,$E$9))</f>
        <v/>
      </c>
      <c r="E1015" s="11" t="str">
        <f t="shared" si="147"/>
        <v/>
      </c>
      <c r="F1015" s="11" t="str">
        <f t="shared" si="150"/>
        <v/>
      </c>
      <c r="G1015" s="11" t="str">
        <f t="shared" si="151"/>
        <v/>
      </c>
      <c r="H1015" s="19" t="str">
        <f t="shared" si="148"/>
        <v/>
      </c>
      <c r="I1015" s="21">
        <f t="shared" si="152"/>
        <v>0</v>
      </c>
      <c r="J1015" s="21" t="e">
        <f t="shared" si="149"/>
        <v>#N/A</v>
      </c>
      <c r="K1015" s="21" t="str">
        <f t="shared" si="153"/>
        <v/>
      </c>
    </row>
    <row r="1016" spans="2:11" x14ac:dyDescent="0.25">
      <c r="B1016" s="9" t="e">
        <f t="shared" si="154"/>
        <v>#N/A</v>
      </c>
      <c r="C1016" s="10" t="e">
        <f t="shared" si="146"/>
        <v>#N/A</v>
      </c>
      <c r="D1016" s="11" t="str">
        <f>IF(ISERROR(B1016),"",bsolve($B1016,$E$2,$E$4,$E$8,$E$9))</f>
        <v/>
      </c>
      <c r="E1016" s="11" t="str">
        <f t="shared" si="147"/>
        <v/>
      </c>
      <c r="F1016" s="11" t="str">
        <f t="shared" si="150"/>
        <v/>
      </c>
      <c r="G1016" s="11" t="str">
        <f t="shared" si="151"/>
        <v/>
      </c>
      <c r="H1016" s="19" t="str">
        <f t="shared" si="148"/>
        <v/>
      </c>
      <c r="I1016" s="21">
        <f t="shared" si="152"/>
        <v>0</v>
      </c>
      <c r="J1016" s="21" t="e">
        <f t="shared" si="149"/>
        <v>#N/A</v>
      </c>
      <c r="K1016" s="21" t="str">
        <f t="shared" si="153"/>
        <v/>
      </c>
    </row>
    <row r="1017" spans="2:11" x14ac:dyDescent="0.25">
      <c r="B1017" s="9" t="e">
        <f t="shared" si="154"/>
        <v>#N/A</v>
      </c>
      <c r="C1017" s="10" t="e">
        <f t="shared" si="146"/>
        <v>#N/A</v>
      </c>
      <c r="D1017" s="11" t="str">
        <f>IF(ISERROR(B1017),"",bsolve($B1017,$E$2,$E$4,$E$8,$E$9))</f>
        <v/>
      </c>
      <c r="E1017" s="11" t="str">
        <f t="shared" si="147"/>
        <v/>
      </c>
      <c r="F1017" s="11" t="str">
        <f t="shared" si="150"/>
        <v/>
      </c>
      <c r="G1017" s="11" t="str">
        <f t="shared" si="151"/>
        <v/>
      </c>
      <c r="H1017" s="19" t="str">
        <f t="shared" si="148"/>
        <v/>
      </c>
      <c r="I1017" s="21">
        <f t="shared" si="152"/>
        <v>0</v>
      </c>
      <c r="J1017" s="21" t="e">
        <f t="shared" si="149"/>
        <v>#N/A</v>
      </c>
      <c r="K1017" s="21" t="str">
        <f t="shared" si="153"/>
        <v/>
      </c>
    </row>
    <row r="1018" spans="2:11" x14ac:dyDescent="0.25">
      <c r="B1018" s="9" t="e">
        <f t="shared" si="154"/>
        <v>#N/A</v>
      </c>
      <c r="C1018" s="10" t="e">
        <f t="shared" si="146"/>
        <v>#N/A</v>
      </c>
      <c r="D1018" s="11" t="str">
        <f>IF(ISERROR(B1018),"",bsolve($B1018,$E$2,$E$4,$E$8,$E$9))</f>
        <v/>
      </c>
      <c r="E1018" s="11" t="str">
        <f t="shared" si="147"/>
        <v/>
      </c>
      <c r="F1018" s="11" t="str">
        <f t="shared" si="150"/>
        <v/>
      </c>
      <c r="G1018" s="11" t="str">
        <f t="shared" si="151"/>
        <v/>
      </c>
      <c r="H1018" s="19" t="str">
        <f t="shared" si="148"/>
        <v/>
      </c>
      <c r="I1018" s="21">
        <f t="shared" si="152"/>
        <v>0</v>
      </c>
      <c r="J1018" s="21" t="e">
        <f t="shared" si="149"/>
        <v>#N/A</v>
      </c>
      <c r="K1018" s="21" t="str">
        <f t="shared" si="153"/>
        <v/>
      </c>
    </row>
    <row r="1019" spans="2:11" x14ac:dyDescent="0.25">
      <c r="B1019" s="9" t="e">
        <f t="shared" si="154"/>
        <v>#N/A</v>
      </c>
      <c r="C1019" s="10" t="e">
        <f t="shared" si="146"/>
        <v>#N/A</v>
      </c>
      <c r="D1019" s="11" t="str">
        <f>IF(ISERROR(B1019),"",bsolve($B1019,$E$2,$E$4,$E$8,$E$9))</f>
        <v/>
      </c>
      <c r="E1019" s="11" t="str">
        <f t="shared" si="147"/>
        <v/>
      </c>
      <c r="F1019" s="11" t="str">
        <f t="shared" si="150"/>
        <v/>
      </c>
      <c r="G1019" s="11" t="str">
        <f t="shared" si="151"/>
        <v/>
      </c>
      <c r="H1019" s="19" t="str">
        <f t="shared" si="148"/>
        <v/>
      </c>
      <c r="I1019" s="21">
        <f t="shared" si="152"/>
        <v>0</v>
      </c>
      <c r="J1019" s="21" t="e">
        <f t="shared" si="149"/>
        <v>#N/A</v>
      </c>
      <c r="K1019" s="21" t="str">
        <f t="shared" si="153"/>
        <v/>
      </c>
    </row>
    <row r="1020" spans="2:11" x14ac:dyDescent="0.25">
      <c r="B1020" s="9" t="e">
        <f t="shared" si="154"/>
        <v>#N/A</v>
      </c>
      <c r="C1020" s="10" t="e">
        <f t="shared" si="146"/>
        <v>#N/A</v>
      </c>
      <c r="D1020" s="11" t="str">
        <f>IF(ISERROR(B1020),"",bsolve($B1020,$E$2,$E$4,$E$8,$E$9))</f>
        <v/>
      </c>
      <c r="E1020" s="11" t="str">
        <f t="shared" si="147"/>
        <v/>
      </c>
      <c r="F1020" s="11" t="str">
        <f t="shared" si="150"/>
        <v/>
      </c>
      <c r="G1020" s="11" t="str">
        <f t="shared" si="151"/>
        <v/>
      </c>
      <c r="H1020" s="19" t="str">
        <f t="shared" si="148"/>
        <v/>
      </c>
      <c r="I1020" s="21">
        <f t="shared" si="152"/>
        <v>0</v>
      </c>
      <c r="J1020" s="21" t="e">
        <f t="shared" si="149"/>
        <v>#N/A</v>
      </c>
      <c r="K1020" s="21" t="str">
        <f t="shared" si="153"/>
        <v/>
      </c>
    </row>
    <row r="1021" spans="2:11" x14ac:dyDescent="0.25">
      <c r="B1021" s="9" t="e">
        <f t="shared" si="154"/>
        <v>#N/A</v>
      </c>
      <c r="C1021" s="10" t="e">
        <f t="shared" si="146"/>
        <v>#N/A</v>
      </c>
      <c r="D1021" s="11" t="str">
        <f>IF(ISERROR(B1021),"",bsolve($B1021,$E$2,$E$4,$E$8,$E$9))</f>
        <v/>
      </c>
      <c r="E1021" s="11" t="str">
        <f t="shared" si="147"/>
        <v/>
      </c>
      <c r="F1021" s="11" t="str">
        <f t="shared" si="150"/>
        <v/>
      </c>
      <c r="G1021" s="11" t="str">
        <f t="shared" si="151"/>
        <v/>
      </c>
      <c r="H1021" s="19" t="str">
        <f t="shared" si="148"/>
        <v/>
      </c>
      <c r="I1021" s="21">
        <f t="shared" si="152"/>
        <v>0</v>
      </c>
      <c r="J1021" s="21" t="e">
        <f t="shared" si="149"/>
        <v>#N/A</v>
      </c>
      <c r="K1021" s="21" t="str">
        <f t="shared" si="153"/>
        <v/>
      </c>
    </row>
    <row r="1022" spans="2:11" x14ac:dyDescent="0.25">
      <c r="B1022" s="9" t="e">
        <f t="shared" si="154"/>
        <v>#N/A</v>
      </c>
      <c r="C1022" s="10" t="e">
        <f t="shared" si="146"/>
        <v>#N/A</v>
      </c>
      <c r="D1022" s="11" t="str">
        <f>IF(ISERROR(B1022),"",bsolve($B1022,$E$2,$E$4,$E$8,$E$9))</f>
        <v/>
      </c>
      <c r="E1022" s="11" t="str">
        <f t="shared" si="147"/>
        <v/>
      </c>
      <c r="F1022" s="11" t="str">
        <f t="shared" si="150"/>
        <v/>
      </c>
      <c r="G1022" s="11" t="str">
        <f t="shared" si="151"/>
        <v/>
      </c>
      <c r="H1022" s="19" t="str">
        <f t="shared" si="148"/>
        <v/>
      </c>
      <c r="I1022" s="21">
        <f t="shared" si="152"/>
        <v>0</v>
      </c>
      <c r="J1022" s="21" t="e">
        <f t="shared" si="149"/>
        <v>#N/A</v>
      </c>
      <c r="K1022" s="21" t="str">
        <f t="shared" si="153"/>
        <v/>
      </c>
    </row>
    <row r="1023" spans="2:11" x14ac:dyDescent="0.25">
      <c r="B1023" s="9" t="e">
        <f t="shared" si="154"/>
        <v>#N/A</v>
      </c>
      <c r="C1023" s="10" t="e">
        <f t="shared" si="146"/>
        <v>#N/A</v>
      </c>
      <c r="D1023" s="11" t="str">
        <f>IF(ISERROR(B1023),"",bsolve($B1023,$E$2,$E$4,$E$8,$E$9))</f>
        <v/>
      </c>
      <c r="E1023" s="11" t="str">
        <f t="shared" si="147"/>
        <v/>
      </c>
      <c r="F1023" s="11" t="str">
        <f t="shared" si="150"/>
        <v/>
      </c>
      <c r="G1023" s="11" t="str">
        <f t="shared" si="151"/>
        <v/>
      </c>
      <c r="H1023" s="19" t="str">
        <f t="shared" si="148"/>
        <v/>
      </c>
      <c r="I1023" s="21">
        <f t="shared" si="152"/>
        <v>0</v>
      </c>
      <c r="J1023" s="21" t="e">
        <f t="shared" si="149"/>
        <v>#N/A</v>
      </c>
      <c r="K1023" s="21" t="str">
        <f t="shared" si="153"/>
        <v/>
      </c>
    </row>
    <row r="1024" spans="2:11" x14ac:dyDescent="0.25">
      <c r="B1024" s="9" t="e">
        <f t="shared" si="154"/>
        <v>#N/A</v>
      </c>
      <c r="C1024" s="10" t="e">
        <f t="shared" si="146"/>
        <v>#N/A</v>
      </c>
      <c r="D1024" s="11" t="str">
        <f>IF(ISERROR(B1024),"",bsolve($B1024,$E$2,$E$4,$E$8,$E$9))</f>
        <v/>
      </c>
      <c r="E1024" s="11" t="str">
        <f t="shared" si="147"/>
        <v/>
      </c>
      <c r="F1024" s="11" t="str">
        <f t="shared" si="150"/>
        <v/>
      </c>
      <c r="G1024" s="11" t="str">
        <f t="shared" si="151"/>
        <v/>
      </c>
      <c r="H1024" s="19" t="str">
        <f t="shared" si="148"/>
        <v/>
      </c>
      <c r="I1024" s="21">
        <f t="shared" si="152"/>
        <v>0</v>
      </c>
      <c r="J1024" s="21" t="e">
        <f t="shared" si="149"/>
        <v>#N/A</v>
      </c>
      <c r="K1024" s="21" t="str">
        <f t="shared" si="153"/>
        <v/>
      </c>
    </row>
    <row r="1025" spans="2:11" x14ac:dyDescent="0.25">
      <c r="B1025" s="9" t="e">
        <f t="shared" si="154"/>
        <v>#N/A</v>
      </c>
      <c r="C1025" s="10" t="e">
        <f t="shared" si="146"/>
        <v>#N/A</v>
      </c>
      <c r="D1025" s="11" t="str">
        <f>IF(ISERROR(B1025),"",bsolve($B1025,$E$2,$E$4,$E$8,$E$9))</f>
        <v/>
      </c>
      <c r="E1025" s="11" t="str">
        <f t="shared" si="147"/>
        <v/>
      </c>
      <c r="F1025" s="11" t="str">
        <f t="shared" si="150"/>
        <v/>
      </c>
      <c r="G1025" s="11" t="str">
        <f t="shared" si="151"/>
        <v/>
      </c>
      <c r="H1025" s="19" t="str">
        <f t="shared" si="148"/>
        <v/>
      </c>
      <c r="I1025" s="21">
        <f t="shared" si="152"/>
        <v>0</v>
      </c>
      <c r="J1025" s="21" t="e">
        <f t="shared" si="149"/>
        <v>#N/A</v>
      </c>
      <c r="K1025" s="21" t="str">
        <f t="shared" si="153"/>
        <v/>
      </c>
    </row>
    <row r="1026" spans="2:11" x14ac:dyDescent="0.25">
      <c r="B1026" s="9" t="e">
        <f t="shared" si="154"/>
        <v>#N/A</v>
      </c>
      <c r="C1026" s="10" t="e">
        <f t="shared" si="146"/>
        <v>#N/A</v>
      </c>
      <c r="D1026" s="11" t="str">
        <f>IF(ISERROR(B1026),"",bsolve($B1026,$E$2,$E$4,$E$8,$E$9))</f>
        <v/>
      </c>
      <c r="E1026" s="11" t="str">
        <f t="shared" si="147"/>
        <v/>
      </c>
      <c r="F1026" s="11" t="str">
        <f t="shared" si="150"/>
        <v/>
      </c>
      <c r="G1026" s="11" t="str">
        <f t="shared" si="151"/>
        <v/>
      </c>
      <c r="H1026" s="19" t="str">
        <f t="shared" si="148"/>
        <v/>
      </c>
      <c r="I1026" s="21">
        <f t="shared" si="152"/>
        <v>0</v>
      </c>
      <c r="J1026" s="21" t="e">
        <f t="shared" si="149"/>
        <v>#N/A</v>
      </c>
      <c r="K1026" s="21" t="str">
        <f t="shared" si="153"/>
        <v/>
      </c>
    </row>
    <row r="1027" spans="2:11" x14ac:dyDescent="0.25">
      <c r="B1027" s="9" t="e">
        <f t="shared" si="154"/>
        <v>#N/A</v>
      </c>
      <c r="C1027" s="10" t="e">
        <f t="shared" si="146"/>
        <v>#N/A</v>
      </c>
      <c r="D1027" s="11" t="str">
        <f>IF(ISERROR(B1027),"",bsolve($B1027,$E$2,$E$4,$E$8,$E$9))</f>
        <v/>
      </c>
      <c r="E1027" s="11" t="str">
        <f t="shared" si="147"/>
        <v/>
      </c>
      <c r="F1027" s="11" t="str">
        <f t="shared" si="150"/>
        <v/>
      </c>
      <c r="G1027" s="11" t="str">
        <f t="shared" si="151"/>
        <v/>
      </c>
      <c r="H1027" s="19" t="str">
        <f t="shared" si="148"/>
        <v/>
      </c>
      <c r="I1027" s="21">
        <f t="shared" si="152"/>
        <v>0</v>
      </c>
      <c r="J1027" s="21" t="e">
        <f t="shared" si="149"/>
        <v>#N/A</v>
      </c>
      <c r="K1027" s="21" t="str">
        <f t="shared" si="153"/>
        <v/>
      </c>
    </row>
    <row r="1028" spans="2:11" x14ac:dyDescent="0.25">
      <c r="B1028" s="9" t="e">
        <f t="shared" si="154"/>
        <v>#N/A</v>
      </c>
      <c r="C1028" s="10" t="e">
        <f t="shared" si="146"/>
        <v>#N/A</v>
      </c>
      <c r="D1028" s="11" t="str">
        <f>IF(ISERROR(B1028),"",bsolve($B1028,$E$2,$E$4,$E$8,$E$9))</f>
        <v/>
      </c>
      <c r="E1028" s="11" t="str">
        <f t="shared" si="147"/>
        <v/>
      </c>
      <c r="F1028" s="11" t="str">
        <f t="shared" si="150"/>
        <v/>
      </c>
      <c r="G1028" s="11" t="str">
        <f t="shared" si="151"/>
        <v/>
      </c>
      <c r="H1028" s="19" t="str">
        <f t="shared" si="148"/>
        <v/>
      </c>
      <c r="I1028" s="21">
        <f t="shared" si="152"/>
        <v>0</v>
      </c>
      <c r="J1028" s="21" t="e">
        <f t="shared" si="149"/>
        <v>#N/A</v>
      </c>
      <c r="K1028" s="21" t="str">
        <f t="shared" si="153"/>
        <v/>
      </c>
    </row>
    <row r="1029" spans="2:11" x14ac:dyDescent="0.25">
      <c r="B1029" s="9" t="e">
        <f t="shared" si="154"/>
        <v>#N/A</v>
      </c>
      <c r="C1029" s="10" t="e">
        <f t="shared" si="146"/>
        <v>#N/A</v>
      </c>
      <c r="D1029" s="11" t="str">
        <f>IF(ISERROR(B1029),"",bsolve($B1029,$E$2,$E$4,$E$8,$E$9))</f>
        <v/>
      </c>
      <c r="E1029" s="11" t="str">
        <f t="shared" si="147"/>
        <v/>
      </c>
      <c r="F1029" s="11" t="str">
        <f t="shared" si="150"/>
        <v/>
      </c>
      <c r="G1029" s="11" t="str">
        <f t="shared" si="151"/>
        <v/>
      </c>
      <c r="H1029" s="19" t="str">
        <f t="shared" si="148"/>
        <v/>
      </c>
      <c r="I1029" s="21">
        <f t="shared" si="152"/>
        <v>0</v>
      </c>
      <c r="J1029" s="21" t="e">
        <f t="shared" si="149"/>
        <v>#N/A</v>
      </c>
      <c r="K1029" s="21" t="str">
        <f t="shared" si="153"/>
        <v/>
      </c>
    </row>
    <row r="1030" spans="2:11" x14ac:dyDescent="0.25">
      <c r="B1030" s="9" t="e">
        <f t="shared" si="154"/>
        <v>#N/A</v>
      </c>
      <c r="C1030" s="10" t="e">
        <f t="shared" si="146"/>
        <v>#N/A</v>
      </c>
      <c r="D1030" s="11" t="str">
        <f>IF(ISERROR(B1030),"",bsolve($B1030,$E$2,$E$4,$E$8,$E$9))</f>
        <v/>
      </c>
      <c r="E1030" s="11" t="str">
        <f t="shared" si="147"/>
        <v/>
      </c>
      <c r="F1030" s="11" t="str">
        <f t="shared" si="150"/>
        <v/>
      </c>
      <c r="G1030" s="11" t="str">
        <f t="shared" si="151"/>
        <v/>
      </c>
      <c r="H1030" s="19" t="str">
        <f t="shared" si="148"/>
        <v/>
      </c>
      <c r="I1030" s="21">
        <f t="shared" si="152"/>
        <v>0</v>
      </c>
      <c r="J1030" s="21" t="e">
        <f t="shared" si="149"/>
        <v>#N/A</v>
      </c>
      <c r="K1030" s="21" t="str">
        <f t="shared" si="153"/>
        <v/>
      </c>
    </row>
    <row r="1031" spans="2:11" x14ac:dyDescent="0.25">
      <c r="B1031" s="9" t="e">
        <f t="shared" si="154"/>
        <v>#N/A</v>
      </c>
      <c r="C1031" s="10" t="e">
        <f t="shared" si="146"/>
        <v>#N/A</v>
      </c>
      <c r="D1031" s="11" t="str">
        <f>IF(ISERROR(B1031),"",bsolve($B1031,$E$2,$E$4,$E$8,$E$9))</f>
        <v/>
      </c>
      <c r="E1031" s="11" t="str">
        <f t="shared" si="147"/>
        <v/>
      </c>
      <c r="F1031" s="11" t="str">
        <f t="shared" si="150"/>
        <v/>
      </c>
      <c r="G1031" s="11" t="str">
        <f t="shared" si="151"/>
        <v/>
      </c>
      <c r="H1031" s="19" t="str">
        <f t="shared" si="148"/>
        <v/>
      </c>
      <c r="I1031" s="21">
        <f t="shared" si="152"/>
        <v>0</v>
      </c>
      <c r="J1031" s="21" t="e">
        <f t="shared" si="149"/>
        <v>#N/A</v>
      </c>
      <c r="K1031" s="21" t="str">
        <f t="shared" si="153"/>
        <v/>
      </c>
    </row>
    <row r="1032" spans="2:11" x14ac:dyDescent="0.25">
      <c r="B1032" s="9" t="e">
        <f t="shared" si="154"/>
        <v>#N/A</v>
      </c>
      <c r="C1032" s="10" t="e">
        <f t="shared" si="146"/>
        <v>#N/A</v>
      </c>
      <c r="D1032" s="11" t="str">
        <f>IF(ISERROR(B1032),"",bsolve($B1032,$E$2,$E$4,$E$8,$E$9))</f>
        <v/>
      </c>
      <c r="E1032" s="11" t="str">
        <f t="shared" si="147"/>
        <v/>
      </c>
      <c r="F1032" s="11" t="str">
        <f t="shared" si="150"/>
        <v/>
      </c>
      <c r="G1032" s="11" t="str">
        <f t="shared" si="151"/>
        <v/>
      </c>
      <c r="H1032" s="19" t="str">
        <f t="shared" si="148"/>
        <v/>
      </c>
      <c r="I1032" s="21">
        <f t="shared" si="152"/>
        <v>0</v>
      </c>
      <c r="J1032" s="21" t="e">
        <f t="shared" si="149"/>
        <v>#N/A</v>
      </c>
      <c r="K1032" s="21" t="str">
        <f t="shared" si="153"/>
        <v/>
      </c>
    </row>
    <row r="1033" spans="2:11" x14ac:dyDescent="0.25">
      <c r="B1033" s="9" t="e">
        <f t="shared" si="154"/>
        <v>#N/A</v>
      </c>
      <c r="C1033" s="10" t="e">
        <f t="shared" si="146"/>
        <v>#N/A</v>
      </c>
      <c r="D1033" s="11" t="str">
        <f>IF(ISERROR(B1033),"",bsolve($B1033,$E$2,$E$4,$E$8,$E$9))</f>
        <v/>
      </c>
      <c r="E1033" s="11" t="str">
        <f t="shared" si="147"/>
        <v/>
      </c>
      <c r="F1033" s="11" t="str">
        <f t="shared" si="150"/>
        <v/>
      </c>
      <c r="G1033" s="11" t="str">
        <f t="shared" si="151"/>
        <v/>
      </c>
      <c r="H1033" s="19" t="str">
        <f t="shared" si="148"/>
        <v/>
      </c>
      <c r="I1033" s="21">
        <f t="shared" si="152"/>
        <v>0</v>
      </c>
      <c r="J1033" s="21" t="e">
        <f t="shared" si="149"/>
        <v>#N/A</v>
      </c>
      <c r="K1033" s="21" t="str">
        <f t="shared" si="153"/>
        <v/>
      </c>
    </row>
    <row r="1034" spans="2:11" x14ac:dyDescent="0.25">
      <c r="B1034" s="9" t="e">
        <f t="shared" si="154"/>
        <v>#N/A</v>
      </c>
      <c r="C1034" s="10" t="e">
        <f t="shared" si="146"/>
        <v>#N/A</v>
      </c>
      <c r="D1034" s="11" t="str">
        <f>IF(ISERROR(B1034),"",bsolve($B1034,$E$2,$E$4,$E$8,$E$9))</f>
        <v/>
      </c>
      <c r="E1034" s="11" t="str">
        <f t="shared" si="147"/>
        <v/>
      </c>
      <c r="F1034" s="11" t="str">
        <f t="shared" si="150"/>
        <v/>
      </c>
      <c r="G1034" s="11" t="str">
        <f t="shared" si="151"/>
        <v/>
      </c>
      <c r="H1034" s="19" t="str">
        <f t="shared" si="148"/>
        <v/>
      </c>
      <c r="I1034" s="21">
        <f t="shared" si="152"/>
        <v>0</v>
      </c>
      <c r="J1034" s="21" t="e">
        <f t="shared" si="149"/>
        <v>#N/A</v>
      </c>
      <c r="K1034" s="21" t="str">
        <f t="shared" si="153"/>
        <v/>
      </c>
    </row>
    <row r="1035" spans="2:11" x14ac:dyDescent="0.25">
      <c r="B1035" s="9" t="e">
        <f t="shared" si="154"/>
        <v>#N/A</v>
      </c>
      <c r="C1035" s="10" t="e">
        <f t="shared" si="146"/>
        <v>#N/A</v>
      </c>
      <c r="D1035" s="11" t="str">
        <f>IF(ISERROR(B1035),"",bsolve($B1035,$E$2,$E$4,$E$8,$E$9))</f>
        <v/>
      </c>
      <c r="E1035" s="11" t="str">
        <f t="shared" si="147"/>
        <v/>
      </c>
      <c r="F1035" s="11" t="str">
        <f t="shared" si="150"/>
        <v/>
      </c>
      <c r="G1035" s="11" t="str">
        <f t="shared" si="151"/>
        <v/>
      </c>
      <c r="H1035" s="19" t="str">
        <f t="shared" si="148"/>
        <v/>
      </c>
      <c r="I1035" s="21">
        <f t="shared" si="152"/>
        <v>0</v>
      </c>
      <c r="J1035" s="21" t="e">
        <f t="shared" si="149"/>
        <v>#N/A</v>
      </c>
      <c r="K1035" s="21" t="str">
        <f t="shared" si="153"/>
        <v/>
      </c>
    </row>
    <row r="1036" spans="2:11" x14ac:dyDescent="0.25">
      <c r="B1036" s="9" t="e">
        <f t="shared" si="154"/>
        <v>#N/A</v>
      </c>
      <c r="C1036" s="10" t="e">
        <f t="shared" si="146"/>
        <v>#N/A</v>
      </c>
      <c r="D1036" s="11" t="str">
        <f>IF(ISERROR(B1036),"",bsolve($B1036,$E$2,$E$4,$E$8,$E$9))</f>
        <v/>
      </c>
      <c r="E1036" s="11" t="str">
        <f t="shared" si="147"/>
        <v/>
      </c>
      <c r="F1036" s="11" t="str">
        <f t="shared" si="150"/>
        <v/>
      </c>
      <c r="G1036" s="11" t="str">
        <f t="shared" si="151"/>
        <v/>
      </c>
      <c r="H1036" s="19" t="str">
        <f t="shared" si="148"/>
        <v/>
      </c>
      <c r="I1036" s="21">
        <f t="shared" si="152"/>
        <v>0</v>
      </c>
      <c r="J1036" s="21" t="e">
        <f t="shared" si="149"/>
        <v>#N/A</v>
      </c>
      <c r="K1036" s="21" t="str">
        <f t="shared" si="153"/>
        <v/>
      </c>
    </row>
    <row r="1037" spans="2:11" x14ac:dyDescent="0.25">
      <c r="B1037" s="9" t="e">
        <f t="shared" si="154"/>
        <v>#N/A</v>
      </c>
      <c r="C1037" s="10" t="e">
        <f t="shared" si="146"/>
        <v>#N/A</v>
      </c>
      <c r="D1037" s="11" t="str">
        <f>IF(ISERROR(B1037),"",bsolve($B1037,$E$2,$E$4,$E$8,$E$9))</f>
        <v/>
      </c>
      <c r="E1037" s="11" t="str">
        <f t="shared" si="147"/>
        <v/>
      </c>
      <c r="F1037" s="11" t="str">
        <f t="shared" si="150"/>
        <v/>
      </c>
      <c r="G1037" s="11" t="str">
        <f t="shared" si="151"/>
        <v/>
      </c>
      <c r="H1037" s="19" t="str">
        <f t="shared" si="148"/>
        <v/>
      </c>
      <c r="I1037" s="21">
        <f t="shared" si="152"/>
        <v>0</v>
      </c>
      <c r="J1037" s="21" t="e">
        <f t="shared" si="149"/>
        <v>#N/A</v>
      </c>
      <c r="K1037" s="21" t="str">
        <f t="shared" si="153"/>
        <v/>
      </c>
    </row>
    <row r="1038" spans="2:11" x14ac:dyDescent="0.25">
      <c r="B1038" s="9" t="e">
        <f t="shared" si="154"/>
        <v>#N/A</v>
      </c>
      <c r="C1038" s="10" t="e">
        <f t="shared" si="146"/>
        <v>#N/A</v>
      </c>
      <c r="D1038" s="11" t="str">
        <f>IF(ISERROR(B1038),"",bsolve($B1038,$E$2,$E$4,$E$8,$E$9))</f>
        <v/>
      </c>
      <c r="E1038" s="11" t="str">
        <f t="shared" si="147"/>
        <v/>
      </c>
      <c r="F1038" s="11" t="str">
        <f t="shared" si="150"/>
        <v/>
      </c>
      <c r="G1038" s="11" t="str">
        <f t="shared" si="151"/>
        <v/>
      </c>
      <c r="H1038" s="19" t="str">
        <f t="shared" si="148"/>
        <v/>
      </c>
      <c r="I1038" s="21">
        <f t="shared" si="152"/>
        <v>0</v>
      </c>
      <c r="J1038" s="21" t="e">
        <f t="shared" si="149"/>
        <v>#N/A</v>
      </c>
      <c r="K1038" s="21" t="str">
        <f t="shared" si="153"/>
        <v/>
      </c>
    </row>
    <row r="1039" spans="2:11" x14ac:dyDescent="0.25">
      <c r="B1039" s="9" t="e">
        <f t="shared" si="154"/>
        <v>#N/A</v>
      </c>
      <c r="C1039" s="10" t="e">
        <f t="shared" si="146"/>
        <v>#N/A</v>
      </c>
      <c r="D1039" s="11" t="str">
        <f>IF(ISERROR(B1039),"",bsolve($B1039,$E$2,$E$4,$E$8,$E$9))</f>
        <v/>
      </c>
      <c r="E1039" s="11" t="str">
        <f t="shared" si="147"/>
        <v/>
      </c>
      <c r="F1039" s="11" t="str">
        <f t="shared" si="150"/>
        <v/>
      </c>
      <c r="G1039" s="11" t="str">
        <f t="shared" si="151"/>
        <v/>
      </c>
      <c r="H1039" s="19" t="str">
        <f t="shared" si="148"/>
        <v/>
      </c>
      <c r="I1039" s="21">
        <f t="shared" si="152"/>
        <v>0</v>
      </c>
      <c r="J1039" s="21" t="e">
        <f t="shared" si="149"/>
        <v>#N/A</v>
      </c>
      <c r="K1039" s="21" t="str">
        <f t="shared" si="153"/>
        <v/>
      </c>
    </row>
    <row r="1040" spans="2:11" x14ac:dyDescent="0.25">
      <c r="B1040" s="9" t="e">
        <f t="shared" si="154"/>
        <v>#N/A</v>
      </c>
      <c r="C1040" s="10" t="e">
        <f t="shared" si="146"/>
        <v>#N/A</v>
      </c>
      <c r="D1040" s="11" t="str">
        <f>IF(ISERROR(B1040),"",bsolve($B1040,$E$2,$E$4,$E$8,$E$9))</f>
        <v/>
      </c>
      <c r="E1040" s="11" t="str">
        <f t="shared" si="147"/>
        <v/>
      </c>
      <c r="F1040" s="11" t="str">
        <f t="shared" si="150"/>
        <v/>
      </c>
      <c r="G1040" s="11" t="str">
        <f t="shared" si="151"/>
        <v/>
      </c>
      <c r="H1040" s="19" t="str">
        <f t="shared" si="148"/>
        <v/>
      </c>
      <c r="I1040" s="21">
        <f t="shared" si="152"/>
        <v>0</v>
      </c>
      <c r="J1040" s="21" t="e">
        <f t="shared" si="149"/>
        <v>#N/A</v>
      </c>
      <c r="K1040" s="21" t="str">
        <f t="shared" si="153"/>
        <v/>
      </c>
    </row>
    <row r="1041" spans="2:11" x14ac:dyDescent="0.25">
      <c r="B1041" s="9" t="e">
        <f t="shared" si="154"/>
        <v>#N/A</v>
      </c>
      <c r="C1041" s="10" t="e">
        <f t="shared" si="146"/>
        <v>#N/A</v>
      </c>
      <c r="D1041" s="11" t="str">
        <f>IF(ISERROR(B1041),"",bsolve($B1041,$E$2,$E$4,$E$8,$E$9))</f>
        <v/>
      </c>
      <c r="E1041" s="11" t="str">
        <f t="shared" si="147"/>
        <v/>
      </c>
      <c r="F1041" s="11" t="str">
        <f t="shared" si="150"/>
        <v/>
      </c>
      <c r="G1041" s="11" t="str">
        <f t="shared" si="151"/>
        <v/>
      </c>
      <c r="H1041" s="19" t="str">
        <f t="shared" si="148"/>
        <v/>
      </c>
      <c r="I1041" s="21">
        <f t="shared" si="152"/>
        <v>0</v>
      </c>
      <c r="J1041" s="21" t="e">
        <f t="shared" si="149"/>
        <v>#N/A</v>
      </c>
      <c r="K1041" s="21" t="str">
        <f t="shared" si="153"/>
        <v/>
      </c>
    </row>
    <row r="1042" spans="2:11" x14ac:dyDescent="0.25">
      <c r="B1042" s="9" t="e">
        <f t="shared" si="154"/>
        <v>#N/A</v>
      </c>
      <c r="C1042" s="10" t="e">
        <f t="shared" ref="C1042:C1060" si="155">IF(B1042="","",100*B1042/$E$2)</f>
        <v>#N/A</v>
      </c>
      <c r="D1042" s="11" t="str">
        <f>IF(ISERROR(B1042),"",bsolve($B1042,$E$2,$E$4,$E$8,$E$9))</f>
        <v/>
      </c>
      <c r="E1042" s="11" t="str">
        <f t="shared" ref="E1042:E1060" si="156">IF(ISERROR(B1042),"",IF(AND($E$7&lt;$E$5,C1042&gt;=($E$5*100)),D1042,0))</f>
        <v/>
      </c>
      <c r="F1042" s="11" t="str">
        <f t="shared" si="150"/>
        <v/>
      </c>
      <c r="G1042" s="11" t="str">
        <f t="shared" si="151"/>
        <v/>
      </c>
      <c r="H1042" s="19" t="str">
        <f t="shared" ref="H1042:H1060" si="157">IF(ISERROR(B1042),"",100*((B1042*(1-$E$9))+($E$2-B1042)*$E$8)/$E$2)</f>
        <v/>
      </c>
      <c r="I1042" s="21">
        <f t="shared" si="152"/>
        <v>0</v>
      </c>
      <c r="J1042" s="21" t="e">
        <f t="shared" ref="J1042:J1060" si="158">IF(ISERROR(B1042),NA(),IF(AND(H1042&gt;=$E$5*100,B1042/$E$2&lt;$E$5),H1042,NA()))</f>
        <v>#N/A</v>
      </c>
      <c r="K1042" s="21" t="str">
        <f t="shared" si="153"/>
        <v/>
      </c>
    </row>
    <row r="1043" spans="2:11" x14ac:dyDescent="0.25">
      <c r="B1043" s="9" t="e">
        <f t="shared" si="154"/>
        <v>#N/A</v>
      </c>
      <c r="C1043" s="10" t="e">
        <f t="shared" si="155"/>
        <v>#N/A</v>
      </c>
      <c r="D1043" s="11" t="str">
        <f>IF(ISERROR(B1043),"",bsolve($B1043,$E$2,$E$4,$E$8,$E$9))</f>
        <v/>
      </c>
      <c r="E1043" s="11" t="str">
        <f t="shared" si="156"/>
        <v/>
      </c>
      <c r="F1043" s="11" t="str">
        <f t="shared" ref="F1043:F1060" si="159">IF(ISERROR(B1043),"",IF(AND($E$7&gt;=$E$5,C1043&lt;($E$5*100)),D1043,0))</f>
        <v/>
      </c>
      <c r="G1043" s="11" t="str">
        <f t="shared" ref="G1043:G1060" si="160">IF(ISERROR(B1043),"",IF(C1043&gt;=$E$5*100,D1043,""))</f>
        <v/>
      </c>
      <c r="H1043" s="19" t="str">
        <f t="shared" si="157"/>
        <v/>
      </c>
      <c r="I1043" s="21">
        <f t="shared" ref="I1043:I1060" si="161">IF(NOT(ISERROR(J1043)),B1043,0)</f>
        <v>0</v>
      </c>
      <c r="J1043" s="21" t="e">
        <f t="shared" si="158"/>
        <v>#N/A</v>
      </c>
      <c r="K1043" s="21" t="str">
        <f t="shared" ref="K1043:K1060" si="162">IF(AND(I1043=0,I1044&gt;0),B1043,"")</f>
        <v/>
      </c>
    </row>
    <row r="1044" spans="2:11" x14ac:dyDescent="0.25">
      <c r="B1044" s="9" t="e">
        <f t="shared" ref="B1044:B1060" si="163">IF(ROW()-18&lt;=$E$2,B1043+1,NA())</f>
        <v>#N/A</v>
      </c>
      <c r="C1044" s="10" t="e">
        <f t="shared" si="155"/>
        <v>#N/A</v>
      </c>
      <c r="D1044" s="11" t="str">
        <f>IF(ISERROR(B1044),"",bsolve($B1044,$E$2,$E$4,$E$8,$E$9))</f>
        <v/>
      </c>
      <c r="E1044" s="11" t="str">
        <f t="shared" si="156"/>
        <v/>
      </c>
      <c r="F1044" s="11" t="str">
        <f t="shared" si="159"/>
        <v/>
      </c>
      <c r="G1044" s="11" t="str">
        <f t="shared" si="160"/>
        <v/>
      </c>
      <c r="H1044" s="19" t="str">
        <f t="shared" si="157"/>
        <v/>
      </c>
      <c r="I1044" s="21">
        <f t="shared" si="161"/>
        <v>0</v>
      </c>
      <c r="J1044" s="21" t="e">
        <f t="shared" si="158"/>
        <v>#N/A</v>
      </c>
      <c r="K1044" s="21" t="str">
        <f t="shared" si="162"/>
        <v/>
      </c>
    </row>
    <row r="1045" spans="2:11" x14ac:dyDescent="0.25">
      <c r="B1045" s="9" t="e">
        <f t="shared" si="163"/>
        <v>#N/A</v>
      </c>
      <c r="C1045" s="10" t="e">
        <f t="shared" si="155"/>
        <v>#N/A</v>
      </c>
      <c r="D1045" s="11" t="str">
        <f>IF(ISERROR(B1045),"",bsolve($B1045,$E$2,$E$4,$E$8,$E$9))</f>
        <v/>
      </c>
      <c r="E1045" s="11" t="str">
        <f t="shared" si="156"/>
        <v/>
      </c>
      <c r="F1045" s="11" t="str">
        <f t="shared" si="159"/>
        <v/>
      </c>
      <c r="G1045" s="11" t="str">
        <f t="shared" si="160"/>
        <v/>
      </c>
      <c r="H1045" s="19" t="str">
        <f t="shared" si="157"/>
        <v/>
      </c>
      <c r="I1045" s="21">
        <f t="shared" si="161"/>
        <v>0</v>
      </c>
      <c r="J1045" s="21" t="e">
        <f t="shared" si="158"/>
        <v>#N/A</v>
      </c>
      <c r="K1045" s="21" t="str">
        <f t="shared" si="162"/>
        <v/>
      </c>
    </row>
    <row r="1046" spans="2:11" x14ac:dyDescent="0.25">
      <c r="B1046" s="9" t="e">
        <f t="shared" si="163"/>
        <v>#N/A</v>
      </c>
      <c r="C1046" s="10" t="e">
        <f t="shared" si="155"/>
        <v>#N/A</v>
      </c>
      <c r="D1046" s="11" t="str">
        <f>IF(ISERROR(B1046),"",bsolve($B1046,$E$2,$E$4,$E$8,$E$9))</f>
        <v/>
      </c>
      <c r="E1046" s="11" t="str">
        <f t="shared" si="156"/>
        <v/>
      </c>
      <c r="F1046" s="11" t="str">
        <f t="shared" si="159"/>
        <v/>
      </c>
      <c r="G1046" s="11" t="str">
        <f t="shared" si="160"/>
        <v/>
      </c>
      <c r="H1046" s="19" t="str">
        <f t="shared" si="157"/>
        <v/>
      </c>
      <c r="I1046" s="21">
        <f t="shared" si="161"/>
        <v>0</v>
      </c>
      <c r="J1046" s="21" t="e">
        <f t="shared" si="158"/>
        <v>#N/A</v>
      </c>
      <c r="K1046" s="21" t="str">
        <f t="shared" si="162"/>
        <v/>
      </c>
    </row>
    <row r="1047" spans="2:11" x14ac:dyDescent="0.25">
      <c r="B1047" s="9" t="e">
        <f t="shared" si="163"/>
        <v>#N/A</v>
      </c>
      <c r="C1047" s="10" t="e">
        <f t="shared" si="155"/>
        <v>#N/A</v>
      </c>
      <c r="D1047" s="11" t="str">
        <f>IF(ISERROR(B1047),"",bsolve($B1047,$E$2,$E$4,$E$8,$E$9))</f>
        <v/>
      </c>
      <c r="E1047" s="11" t="str">
        <f t="shared" si="156"/>
        <v/>
      </c>
      <c r="F1047" s="11" t="str">
        <f t="shared" si="159"/>
        <v/>
      </c>
      <c r="G1047" s="11" t="str">
        <f t="shared" si="160"/>
        <v/>
      </c>
      <c r="H1047" s="19" t="str">
        <f t="shared" si="157"/>
        <v/>
      </c>
      <c r="I1047" s="21">
        <f t="shared" si="161"/>
        <v>0</v>
      </c>
      <c r="J1047" s="21" t="e">
        <f t="shared" si="158"/>
        <v>#N/A</v>
      </c>
      <c r="K1047" s="21" t="str">
        <f t="shared" si="162"/>
        <v/>
      </c>
    </row>
    <row r="1048" spans="2:11" x14ac:dyDescent="0.25">
      <c r="B1048" s="9" t="e">
        <f t="shared" si="163"/>
        <v>#N/A</v>
      </c>
      <c r="C1048" s="10" t="e">
        <f t="shared" si="155"/>
        <v>#N/A</v>
      </c>
      <c r="D1048" s="11" t="str">
        <f>IF(ISERROR(B1048),"",bsolve($B1048,$E$2,$E$4,$E$8,$E$9))</f>
        <v/>
      </c>
      <c r="E1048" s="11" t="str">
        <f t="shared" si="156"/>
        <v/>
      </c>
      <c r="F1048" s="11" t="str">
        <f t="shared" si="159"/>
        <v/>
      </c>
      <c r="G1048" s="11" t="str">
        <f t="shared" si="160"/>
        <v/>
      </c>
      <c r="H1048" s="19" t="str">
        <f t="shared" si="157"/>
        <v/>
      </c>
      <c r="I1048" s="21">
        <f t="shared" si="161"/>
        <v>0</v>
      </c>
      <c r="J1048" s="21" t="e">
        <f t="shared" si="158"/>
        <v>#N/A</v>
      </c>
      <c r="K1048" s="21" t="str">
        <f t="shared" si="162"/>
        <v/>
      </c>
    </row>
    <row r="1049" spans="2:11" x14ac:dyDescent="0.25">
      <c r="B1049" s="9" t="e">
        <f t="shared" si="163"/>
        <v>#N/A</v>
      </c>
      <c r="C1049" s="10" t="e">
        <f t="shared" si="155"/>
        <v>#N/A</v>
      </c>
      <c r="D1049" s="11" t="str">
        <f>IF(ISERROR(B1049),"",bsolve($B1049,$E$2,$E$4,$E$8,$E$9))</f>
        <v/>
      </c>
      <c r="E1049" s="11" t="str">
        <f t="shared" si="156"/>
        <v/>
      </c>
      <c r="F1049" s="11" t="str">
        <f t="shared" si="159"/>
        <v/>
      </c>
      <c r="G1049" s="11" t="str">
        <f t="shared" si="160"/>
        <v/>
      </c>
      <c r="H1049" s="19" t="str">
        <f t="shared" si="157"/>
        <v/>
      </c>
      <c r="I1049" s="21">
        <f t="shared" si="161"/>
        <v>0</v>
      </c>
      <c r="J1049" s="21" t="e">
        <f t="shared" si="158"/>
        <v>#N/A</v>
      </c>
      <c r="K1049" s="21" t="str">
        <f t="shared" si="162"/>
        <v/>
      </c>
    </row>
    <row r="1050" spans="2:11" x14ac:dyDescent="0.25">
      <c r="B1050" s="9" t="e">
        <f t="shared" si="163"/>
        <v>#N/A</v>
      </c>
      <c r="C1050" s="10" t="e">
        <f t="shared" si="155"/>
        <v>#N/A</v>
      </c>
      <c r="D1050" s="11" t="str">
        <f>IF(ISERROR(B1050),"",bsolve($B1050,$E$2,$E$4,$E$8,$E$9))</f>
        <v/>
      </c>
      <c r="E1050" s="11" t="str">
        <f t="shared" si="156"/>
        <v/>
      </c>
      <c r="F1050" s="11" t="str">
        <f t="shared" si="159"/>
        <v/>
      </c>
      <c r="G1050" s="11" t="str">
        <f t="shared" si="160"/>
        <v/>
      </c>
      <c r="H1050" s="19" t="str">
        <f t="shared" si="157"/>
        <v/>
      </c>
      <c r="I1050" s="21">
        <f t="shared" si="161"/>
        <v>0</v>
      </c>
      <c r="J1050" s="21" t="e">
        <f t="shared" si="158"/>
        <v>#N/A</v>
      </c>
      <c r="K1050" s="21" t="str">
        <f t="shared" si="162"/>
        <v/>
      </c>
    </row>
    <row r="1051" spans="2:11" x14ac:dyDescent="0.25">
      <c r="B1051" s="9" t="e">
        <f t="shared" si="163"/>
        <v>#N/A</v>
      </c>
      <c r="C1051" s="10" t="e">
        <f t="shared" si="155"/>
        <v>#N/A</v>
      </c>
      <c r="D1051" s="11" t="str">
        <f>IF(ISERROR(B1051),"",bsolve($B1051,$E$2,$E$4,$E$8,$E$9))</f>
        <v/>
      </c>
      <c r="E1051" s="11" t="str">
        <f t="shared" si="156"/>
        <v/>
      </c>
      <c r="F1051" s="11" t="str">
        <f t="shared" si="159"/>
        <v/>
      </c>
      <c r="G1051" s="11" t="str">
        <f t="shared" si="160"/>
        <v/>
      </c>
      <c r="H1051" s="19" t="str">
        <f t="shared" si="157"/>
        <v/>
      </c>
      <c r="I1051" s="21">
        <f t="shared" si="161"/>
        <v>0</v>
      </c>
      <c r="J1051" s="21" t="e">
        <f t="shared" si="158"/>
        <v>#N/A</v>
      </c>
      <c r="K1051" s="21" t="str">
        <f t="shared" si="162"/>
        <v/>
      </c>
    </row>
    <row r="1052" spans="2:11" x14ac:dyDescent="0.25">
      <c r="B1052" s="9" t="e">
        <f t="shared" si="163"/>
        <v>#N/A</v>
      </c>
      <c r="C1052" s="10" t="e">
        <f t="shared" si="155"/>
        <v>#N/A</v>
      </c>
      <c r="D1052" s="11" t="str">
        <f>IF(ISERROR(B1052),"",bsolve($B1052,$E$2,$E$4,$E$8,$E$9))</f>
        <v/>
      </c>
      <c r="E1052" s="11" t="str">
        <f t="shared" si="156"/>
        <v/>
      </c>
      <c r="F1052" s="11" t="str">
        <f t="shared" si="159"/>
        <v/>
      </c>
      <c r="G1052" s="11" t="str">
        <f t="shared" si="160"/>
        <v/>
      </c>
      <c r="H1052" s="19" t="str">
        <f t="shared" si="157"/>
        <v/>
      </c>
      <c r="I1052" s="21">
        <f t="shared" si="161"/>
        <v>0</v>
      </c>
      <c r="J1052" s="21" t="e">
        <f t="shared" si="158"/>
        <v>#N/A</v>
      </c>
      <c r="K1052" s="21" t="str">
        <f t="shared" si="162"/>
        <v/>
      </c>
    </row>
    <row r="1053" spans="2:11" x14ac:dyDescent="0.25">
      <c r="B1053" s="9" t="e">
        <f t="shared" si="163"/>
        <v>#N/A</v>
      </c>
      <c r="C1053" s="10" t="e">
        <f t="shared" si="155"/>
        <v>#N/A</v>
      </c>
      <c r="D1053" s="11" t="str">
        <f>IF(ISERROR(B1053),"",bsolve($B1053,$E$2,$E$4,$E$8,$E$9))</f>
        <v/>
      </c>
      <c r="E1053" s="11" t="str">
        <f t="shared" si="156"/>
        <v/>
      </c>
      <c r="F1053" s="11" t="str">
        <f t="shared" si="159"/>
        <v/>
      </c>
      <c r="G1053" s="11" t="str">
        <f t="shared" si="160"/>
        <v/>
      </c>
      <c r="H1053" s="19" t="str">
        <f t="shared" si="157"/>
        <v/>
      </c>
      <c r="I1053" s="21">
        <f t="shared" si="161"/>
        <v>0</v>
      </c>
      <c r="J1053" s="21" t="e">
        <f t="shared" si="158"/>
        <v>#N/A</v>
      </c>
      <c r="K1053" s="21" t="str">
        <f t="shared" si="162"/>
        <v/>
      </c>
    </row>
    <row r="1054" spans="2:11" x14ac:dyDescent="0.25">
      <c r="B1054" s="9" t="e">
        <f t="shared" si="163"/>
        <v>#N/A</v>
      </c>
      <c r="C1054" s="10" t="e">
        <f t="shared" si="155"/>
        <v>#N/A</v>
      </c>
      <c r="D1054" s="11" t="str">
        <f>IF(ISERROR(B1054),"",bsolve($B1054,$E$2,$E$4,$E$8,$E$9))</f>
        <v/>
      </c>
      <c r="E1054" s="11" t="str">
        <f t="shared" si="156"/>
        <v/>
      </c>
      <c r="F1054" s="11" t="str">
        <f t="shared" si="159"/>
        <v/>
      </c>
      <c r="G1054" s="11" t="str">
        <f t="shared" si="160"/>
        <v/>
      </c>
      <c r="H1054" s="19" t="str">
        <f t="shared" si="157"/>
        <v/>
      </c>
      <c r="I1054" s="21">
        <f t="shared" si="161"/>
        <v>0</v>
      </c>
      <c r="J1054" s="21" t="e">
        <f t="shared" si="158"/>
        <v>#N/A</v>
      </c>
      <c r="K1054" s="21" t="str">
        <f t="shared" si="162"/>
        <v/>
      </c>
    </row>
    <row r="1055" spans="2:11" x14ac:dyDescent="0.25">
      <c r="B1055" s="9" t="e">
        <f t="shared" si="163"/>
        <v>#N/A</v>
      </c>
      <c r="C1055" s="10" t="e">
        <f t="shared" si="155"/>
        <v>#N/A</v>
      </c>
      <c r="D1055" s="11" t="str">
        <f>IF(ISERROR(B1055),"",bsolve($B1055,$E$2,$E$4,$E$8,$E$9))</f>
        <v/>
      </c>
      <c r="E1055" s="11" t="str">
        <f t="shared" si="156"/>
        <v/>
      </c>
      <c r="F1055" s="11" t="str">
        <f t="shared" si="159"/>
        <v/>
      </c>
      <c r="G1055" s="11" t="str">
        <f t="shared" si="160"/>
        <v/>
      </c>
      <c r="H1055" s="19" t="str">
        <f t="shared" si="157"/>
        <v/>
      </c>
      <c r="I1055" s="21">
        <f t="shared" si="161"/>
        <v>0</v>
      </c>
      <c r="J1055" s="21" t="e">
        <f t="shared" si="158"/>
        <v>#N/A</v>
      </c>
      <c r="K1055" s="21" t="str">
        <f t="shared" si="162"/>
        <v/>
      </c>
    </row>
    <row r="1056" spans="2:11" x14ac:dyDescent="0.25">
      <c r="B1056" s="9" t="e">
        <f t="shared" si="163"/>
        <v>#N/A</v>
      </c>
      <c r="C1056" s="10" t="e">
        <f t="shared" si="155"/>
        <v>#N/A</v>
      </c>
      <c r="D1056" s="11" t="str">
        <f>IF(ISERROR(B1056),"",bsolve($B1056,$E$2,$E$4,$E$8,$E$9))</f>
        <v/>
      </c>
      <c r="E1056" s="11" t="str">
        <f t="shared" si="156"/>
        <v/>
      </c>
      <c r="F1056" s="11" t="str">
        <f t="shared" si="159"/>
        <v/>
      </c>
      <c r="G1056" s="11" t="str">
        <f t="shared" si="160"/>
        <v/>
      </c>
      <c r="H1056" s="19" t="str">
        <f t="shared" si="157"/>
        <v/>
      </c>
      <c r="I1056" s="21">
        <f t="shared" si="161"/>
        <v>0</v>
      </c>
      <c r="J1056" s="21" t="e">
        <f t="shared" si="158"/>
        <v>#N/A</v>
      </c>
      <c r="K1056" s="21" t="str">
        <f t="shared" si="162"/>
        <v/>
      </c>
    </row>
    <row r="1057" spans="2:11" x14ac:dyDescent="0.25">
      <c r="B1057" s="9" t="e">
        <f t="shared" si="163"/>
        <v>#N/A</v>
      </c>
      <c r="C1057" s="10" t="e">
        <f t="shared" si="155"/>
        <v>#N/A</v>
      </c>
      <c r="D1057" s="11" t="str">
        <f>IF(ISERROR(B1057),"",bsolve($B1057,$E$2,$E$4,$E$8,$E$9))</f>
        <v/>
      </c>
      <c r="E1057" s="11" t="str">
        <f t="shared" si="156"/>
        <v/>
      </c>
      <c r="F1057" s="11" t="str">
        <f t="shared" si="159"/>
        <v/>
      </c>
      <c r="G1057" s="11" t="str">
        <f t="shared" si="160"/>
        <v/>
      </c>
      <c r="H1057" s="19" t="str">
        <f t="shared" si="157"/>
        <v/>
      </c>
      <c r="I1057" s="21">
        <f t="shared" si="161"/>
        <v>0</v>
      </c>
      <c r="J1057" s="21" t="e">
        <f t="shared" si="158"/>
        <v>#N/A</v>
      </c>
      <c r="K1057" s="21" t="str">
        <f t="shared" si="162"/>
        <v/>
      </c>
    </row>
    <row r="1058" spans="2:11" x14ac:dyDescent="0.25">
      <c r="B1058" s="9" t="e">
        <f t="shared" si="163"/>
        <v>#N/A</v>
      </c>
      <c r="C1058" s="10" t="e">
        <f t="shared" si="155"/>
        <v>#N/A</v>
      </c>
      <c r="D1058" s="11" t="str">
        <f>IF(ISERROR(B1058),"",bsolve($B1058,$E$2,$E$4,$E$8,$E$9))</f>
        <v/>
      </c>
      <c r="E1058" s="11" t="str">
        <f t="shared" si="156"/>
        <v/>
      </c>
      <c r="F1058" s="11" t="str">
        <f t="shared" si="159"/>
        <v/>
      </c>
      <c r="G1058" s="11" t="str">
        <f t="shared" si="160"/>
        <v/>
      </c>
      <c r="H1058" s="19" t="str">
        <f t="shared" si="157"/>
        <v/>
      </c>
      <c r="I1058" s="21">
        <f t="shared" si="161"/>
        <v>0</v>
      </c>
      <c r="J1058" s="21" t="e">
        <f t="shared" si="158"/>
        <v>#N/A</v>
      </c>
      <c r="K1058" s="21" t="str">
        <f t="shared" si="162"/>
        <v/>
      </c>
    </row>
    <row r="1059" spans="2:11" x14ac:dyDescent="0.25">
      <c r="B1059" s="9" t="e">
        <f t="shared" si="163"/>
        <v>#N/A</v>
      </c>
      <c r="C1059" s="10" t="e">
        <f t="shared" si="155"/>
        <v>#N/A</v>
      </c>
      <c r="D1059" s="11" t="str">
        <f>IF(ISERROR(B1059),"",bsolve($B1059,$E$2,$E$4,$E$8,$E$9))</f>
        <v/>
      </c>
      <c r="E1059" s="11" t="str">
        <f t="shared" si="156"/>
        <v/>
      </c>
      <c r="F1059" s="11" t="str">
        <f t="shared" si="159"/>
        <v/>
      </c>
      <c r="G1059" s="11" t="str">
        <f t="shared" si="160"/>
        <v/>
      </c>
      <c r="H1059" s="19" t="str">
        <f t="shared" si="157"/>
        <v/>
      </c>
      <c r="I1059" s="21">
        <f t="shared" si="161"/>
        <v>0</v>
      </c>
      <c r="J1059" s="21" t="e">
        <f t="shared" si="158"/>
        <v>#N/A</v>
      </c>
      <c r="K1059" s="21" t="str">
        <f t="shared" si="162"/>
        <v/>
      </c>
    </row>
    <row r="1060" spans="2:11" x14ac:dyDescent="0.25">
      <c r="B1060" s="14" t="e">
        <f t="shared" si="163"/>
        <v>#N/A</v>
      </c>
      <c r="C1060" s="12" t="e">
        <f t="shared" si="155"/>
        <v>#N/A</v>
      </c>
      <c r="D1060" s="12" t="str">
        <f>IF(ISERROR(B1060),"",bsolve($B1060,$E$2,$E$4,$E$8,$E$9))</f>
        <v/>
      </c>
      <c r="E1060" s="12" t="str">
        <f t="shared" si="156"/>
        <v/>
      </c>
      <c r="F1060" s="13" t="str">
        <f t="shared" si="159"/>
        <v/>
      </c>
      <c r="G1060" s="13" t="str">
        <f t="shared" si="160"/>
        <v/>
      </c>
      <c r="H1060" s="22" t="str">
        <f t="shared" si="157"/>
        <v/>
      </c>
      <c r="I1060" s="21">
        <f t="shared" si="161"/>
        <v>0</v>
      </c>
      <c r="J1060" s="21" t="e">
        <f t="shared" si="158"/>
        <v>#N/A</v>
      </c>
      <c r="K1060" s="21" t="str">
        <f t="shared" si="162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5</xdr:col>
                    <xdr:colOff>257175</xdr:colOff>
                    <xdr:row>1</xdr:row>
                    <xdr:rowOff>0</xdr:rowOff>
                  </from>
                  <to>
                    <xdr:col>7</xdr:col>
                    <xdr:colOff>485775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BinomialDist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2015-04-21T03:05:11Z</cp:lastPrinted>
  <dcterms:created xsi:type="dcterms:W3CDTF">2015-04-04T03:36:20Z</dcterms:created>
  <dcterms:modified xsi:type="dcterms:W3CDTF">2021-01-23T15:07:15Z</dcterms:modified>
</cp:coreProperties>
</file>